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DATA ENGINEERING\EXCEL\FINAL DASHBORDS\"/>
    </mc:Choice>
  </mc:AlternateContent>
  <xr:revisionPtr revIDLastSave="0" documentId="13_ncr:1_{C64A732B-7151-4180-A773-12AF0D607B98}" xr6:coauthVersionLast="47" xr6:coauthVersionMax="47" xr10:uidLastSave="{00000000-0000-0000-0000-000000000000}"/>
  <bookViews>
    <workbookView xWindow="-120" yWindow="-120" windowWidth="20730" windowHeight="11160" activeTab="4" xr2:uid="{2539C691-5713-4031-892C-8DDF87EADDC1}"/>
  </bookViews>
  <sheets>
    <sheet name="TIME SHEET" sheetId="1" r:id="rId1"/>
    <sheet name="EMP PHOTO" sheetId="9" r:id="rId2"/>
    <sheet name="DASHBORDS" sheetId="3" r:id="rId3"/>
    <sheet name="PDF" sheetId="12" r:id="rId4"/>
    <sheet name="Send_Mails" sheetId="11" r:id="rId5"/>
    <sheet name="EMP_INFORMATION" sheetId="2" r:id="rId6"/>
    <sheet name="PIVIOT TABLE" sheetId="4" r:id="rId7"/>
    <sheet name="FORM" sheetId="10" r:id="rId8"/>
  </sheets>
  <definedNames>
    <definedName name="NativeTimeline_Date">#N/A</definedName>
    <definedName name="Slicer_Employee_Name">#N/A</definedName>
  </definedNames>
  <calcPr calcId="191029"/>
  <pivotCaches>
    <pivotCache cacheId="1"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6" i="9" l="1"/>
  <c r="B46" i="9"/>
  <c r="B36" i="9"/>
  <c r="B26" i="9"/>
  <c r="B16" i="9"/>
  <c r="B6" i="9"/>
  <c r="AV11" i="4"/>
  <c r="E6" i="3" s="1"/>
  <c r="I9" i="12" s="1"/>
  <c r="AN7" i="4" a="1"/>
  <c r="AN7" i="4" s="1"/>
  <c r="Y10" i="4"/>
  <c r="Y9" i="4"/>
  <c r="AF11" i="4" s="1"/>
  <c r="I38" i="1"/>
  <c r="H38" i="1"/>
  <c r="G5" i="4"/>
  <c r="J5" i="4"/>
  <c r="D4" i="4"/>
  <c r="I26" i="1"/>
  <c r="I28" i="1"/>
  <c r="I29" i="1"/>
  <c r="I30" i="1"/>
  <c r="I31" i="1"/>
  <c r="I32" i="1"/>
  <c r="I33" i="1"/>
  <c r="I34" i="1"/>
  <c r="I35" i="1"/>
  <c r="I36" i="1"/>
  <c r="I37"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H33" i="1"/>
  <c r="H34" i="1"/>
  <c r="H37" i="1"/>
  <c r="H41" i="1"/>
  <c r="H42" i="1"/>
  <c r="H45" i="1"/>
  <c r="H46" i="1"/>
  <c r="H49" i="1"/>
  <c r="H50" i="1"/>
  <c r="H54" i="1"/>
  <c r="H57" i="1"/>
  <c r="H61" i="1"/>
  <c r="H62" i="1"/>
  <c r="H65" i="1"/>
  <c r="H66" i="1"/>
  <c r="H69" i="1"/>
  <c r="H70" i="1"/>
  <c r="H73" i="1"/>
  <c r="H74" i="1"/>
  <c r="H78" i="1"/>
  <c r="H81" i="1"/>
  <c r="H82" i="1"/>
  <c r="H85" i="1"/>
  <c r="H86" i="1"/>
  <c r="H89" i="1"/>
  <c r="H90" i="1"/>
  <c r="H93" i="1"/>
  <c r="H94" i="1"/>
  <c r="H97" i="1"/>
  <c r="H101" i="1"/>
  <c r="H102" i="1"/>
  <c r="H105" i="1"/>
  <c r="H106" i="1"/>
  <c r="H109" i="1"/>
  <c r="H110" i="1"/>
  <c r="H113" i="1"/>
  <c r="H114" i="1"/>
  <c r="H118" i="1"/>
  <c r="H121" i="1"/>
  <c r="H122" i="1"/>
  <c r="H125" i="1"/>
  <c r="H126" i="1"/>
  <c r="H129" i="1"/>
  <c r="H133" i="1"/>
  <c r="H134" i="1"/>
  <c r="H145" i="1"/>
  <c r="H146" i="1"/>
  <c r="H150" i="1"/>
  <c r="H153" i="1"/>
  <c r="H154" i="1"/>
  <c r="H157" i="1"/>
  <c r="H158" i="1"/>
  <c r="H161" i="1"/>
  <c r="H162" i="1"/>
  <c r="H165" i="1"/>
  <c r="H166" i="1"/>
  <c r="H170" i="1"/>
  <c r="H173" i="1"/>
  <c r="H174" i="1"/>
  <c r="H177" i="1"/>
  <c r="H178" i="1"/>
  <c r="H182" i="1"/>
  <c r="H186" i="1"/>
  <c r="H189" i="1"/>
  <c r="H190" i="1"/>
  <c r="H193" i="1"/>
  <c r="H194" i="1"/>
  <c r="H198" i="1"/>
  <c r="H202" i="1"/>
  <c r="H206" i="1"/>
  <c r="H209" i="1"/>
  <c r="H210" i="1"/>
  <c r="H213" i="1"/>
  <c r="H214" i="1"/>
  <c r="H217" i="1"/>
  <c r="H218" i="1"/>
  <c r="H222" i="1"/>
  <c r="H225" i="1"/>
  <c r="H226" i="1"/>
  <c r="H229" i="1"/>
  <c r="H230" i="1"/>
  <c r="H233" i="1"/>
  <c r="H234" i="1"/>
  <c r="H237" i="1"/>
  <c r="H238" i="1"/>
  <c r="H241" i="1"/>
  <c r="H242" i="1"/>
  <c r="H245" i="1"/>
  <c r="H246" i="1"/>
  <c r="H249" i="1"/>
  <c r="H250" i="1"/>
  <c r="H254" i="1"/>
  <c r="H257" i="1"/>
  <c r="H258" i="1"/>
  <c r="H261" i="1"/>
  <c r="H262" i="1"/>
  <c r="H265" i="1"/>
  <c r="H266" i="1"/>
  <c r="H269" i="1"/>
  <c r="H270" i="1"/>
  <c r="H273" i="1"/>
  <c r="H274" i="1"/>
  <c r="H277" i="1"/>
  <c r="H278" i="1"/>
  <c r="H282" i="1"/>
  <c r="H285" i="1"/>
  <c r="H286" i="1"/>
  <c r="H289" i="1"/>
  <c r="H293" i="1"/>
  <c r="H294" i="1"/>
  <c r="H297" i="1"/>
  <c r="H298" i="1"/>
  <c r="H301" i="1"/>
  <c r="H302" i="1"/>
  <c r="H305" i="1"/>
  <c r="H306" i="1"/>
  <c r="H309" i="1"/>
  <c r="H310" i="1"/>
  <c r="H314" i="1"/>
  <c r="H317" i="1"/>
  <c r="H318" i="1"/>
  <c r="H321" i="1"/>
  <c r="H322" i="1"/>
  <c r="H325" i="1"/>
  <c r="H326" i="1"/>
  <c r="H333" i="1"/>
  <c r="H334" i="1"/>
  <c r="H337" i="1"/>
  <c r="H338" i="1"/>
  <c r="H341" i="1"/>
  <c r="H342" i="1"/>
  <c r="H346" i="1"/>
  <c r="H349" i="1"/>
  <c r="H350" i="1"/>
  <c r="H353" i="1"/>
  <c r="H354" i="1"/>
  <c r="H357" i="1"/>
  <c r="H358" i="1"/>
  <c r="H361" i="1"/>
  <c r="H362" i="1"/>
  <c r="H366" i="1"/>
  <c r="H369" i="1"/>
  <c r="H370" i="1"/>
  <c r="H373" i="1"/>
  <c r="H374" i="1"/>
  <c r="H377" i="1"/>
  <c r="H378" i="1"/>
  <c r="H381" i="1"/>
  <c r="H382" i="1"/>
  <c r="H385" i="1"/>
  <c r="H386" i="1"/>
  <c r="H389" i="1"/>
  <c r="H390" i="1"/>
  <c r="H393" i="1"/>
  <c r="H394" i="1"/>
  <c r="H397" i="1"/>
  <c r="H398" i="1"/>
  <c r="H401" i="1"/>
  <c r="H406" i="1"/>
  <c r="H409" i="1"/>
  <c r="H410" i="1"/>
  <c r="H413" i="1"/>
  <c r="H414" i="1"/>
  <c r="H417" i="1"/>
  <c r="H418" i="1"/>
  <c r="H421" i="1"/>
  <c r="H422" i="1"/>
  <c r="H425" i="1"/>
  <c r="H426" i="1"/>
  <c r="H429" i="1"/>
  <c r="H430" i="1"/>
  <c r="H433" i="1"/>
  <c r="H434" i="1"/>
  <c r="H438" i="1"/>
  <c r="H441" i="1"/>
  <c r="H442" i="1"/>
  <c r="H445" i="1"/>
  <c r="H446" i="1"/>
  <c r="H449" i="1"/>
  <c r="H450" i="1"/>
  <c r="H453" i="1"/>
  <c r="H454" i="1"/>
  <c r="H457" i="1"/>
  <c r="H458" i="1"/>
  <c r="H461" i="1"/>
  <c r="H462" i="1"/>
  <c r="H465" i="1"/>
  <c r="H466" i="1"/>
  <c r="H469" i="1"/>
  <c r="H470" i="1"/>
  <c r="H474" i="1"/>
  <c r="H477" i="1"/>
  <c r="H478" i="1"/>
  <c r="H482" i="1"/>
  <c r="H485" i="1"/>
  <c r="H486" i="1"/>
  <c r="H489" i="1"/>
  <c r="H490" i="1"/>
  <c r="H493" i="1"/>
  <c r="H494" i="1"/>
  <c r="H497" i="1"/>
  <c r="H498" i="1"/>
  <c r="H501" i="1"/>
  <c r="H502" i="1"/>
  <c r="H506" i="1"/>
  <c r="H509" i="1"/>
  <c r="H510" i="1"/>
  <c r="H513" i="1"/>
  <c r="H514" i="1"/>
  <c r="H517" i="1"/>
  <c r="H522" i="1"/>
  <c r="H525" i="1"/>
  <c r="H526" i="1"/>
  <c r="H529" i="1"/>
  <c r="H530" i="1"/>
  <c r="H533" i="1"/>
  <c r="H534" i="1"/>
  <c r="H537" i="1"/>
  <c r="H538" i="1"/>
  <c r="H541" i="1"/>
  <c r="H542" i="1"/>
  <c r="H545" i="1"/>
  <c r="H546" i="1"/>
  <c r="H549" i="1"/>
  <c r="H550" i="1"/>
  <c r="H558" i="1"/>
  <c r="H561" i="1"/>
  <c r="H562" i="1"/>
  <c r="H565" i="1"/>
  <c r="H566" i="1"/>
  <c r="H569" i="1"/>
  <c r="H570" i="1"/>
  <c r="H573" i="1"/>
  <c r="H574" i="1"/>
  <c r="H577" i="1"/>
  <c r="H578" i="1"/>
  <c r="H581" i="1"/>
  <c r="H582" i="1"/>
  <c r="H585" i="1"/>
  <c r="H586" i="1"/>
  <c r="H589" i="1"/>
  <c r="H594" i="1"/>
  <c r="H597" i="1"/>
  <c r="H598" i="1"/>
  <c r="H601" i="1"/>
  <c r="H602" i="1"/>
  <c r="H605" i="1"/>
  <c r="H606" i="1"/>
  <c r="H609" i="1"/>
  <c r="H610" i="1"/>
  <c r="H613" i="1"/>
  <c r="H614" i="1"/>
  <c r="H617" i="1"/>
  <c r="H618" i="1"/>
  <c r="H621" i="1"/>
  <c r="H622" i="1"/>
  <c r="H625" i="1"/>
  <c r="H626" i="1"/>
  <c r="H629" i="1"/>
  <c r="H634" i="1"/>
  <c r="H637" i="1"/>
  <c r="H638" i="1"/>
  <c r="H641" i="1"/>
  <c r="H642" i="1"/>
  <c r="H645" i="1"/>
  <c r="H646" i="1"/>
  <c r="H649" i="1"/>
  <c r="H650" i="1"/>
  <c r="H653" i="1"/>
  <c r="H654" i="1"/>
  <c r="H657" i="1"/>
  <c r="H658" i="1"/>
  <c r="H661" i="1"/>
  <c r="H662" i="1"/>
  <c r="H666" i="1"/>
  <c r="H670" i="1"/>
  <c r="H673" i="1"/>
  <c r="H674" i="1"/>
  <c r="H677" i="1"/>
  <c r="H678" i="1"/>
  <c r="H681" i="1"/>
  <c r="H682" i="1"/>
  <c r="H685" i="1"/>
  <c r="H686" i="1"/>
  <c r="H689" i="1"/>
  <c r="H690" i="1"/>
  <c r="H693" i="1"/>
  <c r="H694" i="1"/>
  <c r="H697" i="1"/>
  <c r="H698" i="1"/>
  <c r="H701" i="1"/>
  <c r="H702" i="1"/>
  <c r="H705" i="1"/>
  <c r="H710" i="1"/>
  <c r="H713" i="1"/>
  <c r="H714" i="1"/>
  <c r="H717" i="1"/>
  <c r="H718" i="1"/>
  <c r="H721" i="1"/>
  <c r="H722" i="1"/>
  <c r="H725" i="1"/>
  <c r="H726" i="1"/>
  <c r="H729" i="1"/>
  <c r="H730" i="1"/>
  <c r="H733" i="1"/>
  <c r="H734" i="1"/>
  <c r="H737" i="1"/>
  <c r="H738" i="1"/>
  <c r="H741" i="1"/>
  <c r="H742" i="1"/>
  <c r="H746" i="1"/>
  <c r="H749" i="1"/>
  <c r="H750" i="1"/>
  <c r="H753" i="1"/>
  <c r="H754" i="1"/>
  <c r="H757" i="1"/>
  <c r="H758" i="1"/>
  <c r="H761" i="1"/>
  <c r="H762" i="1"/>
  <c r="H765" i="1"/>
  <c r="H766" i="1"/>
  <c r="H769" i="1"/>
  <c r="H770" i="1"/>
  <c r="H773" i="1"/>
  <c r="H774" i="1"/>
  <c r="H777" i="1"/>
  <c r="H778" i="1"/>
  <c r="H782" i="1"/>
  <c r="H789" i="1"/>
  <c r="H790" i="1"/>
  <c r="H794" i="1"/>
  <c r="H797" i="1"/>
  <c r="H801" i="1"/>
  <c r="H802" i="1"/>
  <c r="H805" i="1"/>
  <c r="H806" i="1"/>
  <c r="H809" i="1"/>
  <c r="H810" i="1"/>
  <c r="H813" i="1"/>
  <c r="H814" i="1"/>
  <c r="H817" i="1"/>
  <c r="H818" i="1"/>
  <c r="H821" i="1"/>
  <c r="H822" i="1"/>
  <c r="H825" i="1"/>
  <c r="H826" i="1"/>
  <c r="H829" i="1"/>
  <c r="H830" i="1"/>
  <c r="H833" i="1"/>
  <c r="H834" i="1"/>
  <c r="H837" i="1"/>
  <c r="H838" i="1"/>
  <c r="H841" i="1"/>
  <c r="H842" i="1"/>
  <c r="H845" i="1"/>
  <c r="H846" i="1"/>
  <c r="H850" i="1"/>
  <c r="H853" i="1"/>
  <c r="H854" i="1"/>
  <c r="H857" i="1"/>
  <c r="H858" i="1"/>
  <c r="H861" i="1"/>
  <c r="H862" i="1"/>
  <c r="H865" i="1"/>
  <c r="H866" i="1"/>
  <c r="H869" i="1"/>
  <c r="H870" i="1"/>
  <c r="H873" i="1"/>
  <c r="H874" i="1"/>
  <c r="H877" i="1"/>
  <c r="H881" i="1"/>
  <c r="H882" i="1"/>
  <c r="H885" i="1"/>
  <c r="H886" i="1"/>
  <c r="H889" i="1"/>
  <c r="H890" i="1"/>
  <c r="H893" i="1"/>
  <c r="H894" i="1"/>
  <c r="H902" i="1"/>
  <c r="H905" i="1"/>
  <c r="H906" i="1"/>
  <c r="H909" i="1"/>
  <c r="H910" i="1"/>
  <c r="H913" i="1"/>
  <c r="H914" i="1"/>
  <c r="H798" i="1"/>
  <c r="H897" i="1"/>
  <c r="H901" i="1"/>
  <c r="H849" i="1"/>
  <c r="H785" i="1"/>
  <c r="H781" i="1"/>
  <c r="H745" i="1"/>
  <c r="H709" i="1"/>
  <c r="H706" i="1"/>
  <c r="H669" i="1"/>
  <c r="H630" i="1"/>
  <c r="H593" i="1"/>
  <c r="H590" i="1"/>
  <c r="H557" i="1"/>
  <c r="H553" i="1"/>
  <c r="H521" i="1"/>
  <c r="H518" i="1"/>
  <c r="H481" i="1"/>
  <c r="H437" i="1"/>
  <c r="H405" i="1"/>
  <c r="H402" i="1"/>
  <c r="H365" i="1"/>
  <c r="H329" i="1"/>
  <c r="H328" i="1"/>
  <c r="H28" i="1"/>
  <c r="H29" i="1"/>
  <c r="H30" i="1"/>
  <c r="H31" i="1"/>
  <c r="H32" i="1"/>
  <c r="H36" i="1"/>
  <c r="H39" i="1"/>
  <c r="H40" i="1"/>
  <c r="H43" i="1"/>
  <c r="H44" i="1"/>
  <c r="H47" i="1"/>
  <c r="H48" i="1"/>
  <c r="H51" i="1"/>
  <c r="H53" i="1"/>
  <c r="H56" i="1"/>
  <c r="H59" i="1"/>
  <c r="H60" i="1"/>
  <c r="H64" i="1"/>
  <c r="H67" i="1"/>
  <c r="H68" i="1"/>
  <c r="H71" i="1"/>
  <c r="H72" i="1"/>
  <c r="H75" i="1"/>
  <c r="H76" i="1"/>
  <c r="H79" i="1"/>
  <c r="H80" i="1"/>
  <c r="H83" i="1"/>
  <c r="H84" i="1"/>
  <c r="H87" i="1"/>
  <c r="H88" i="1"/>
  <c r="H91" i="1"/>
  <c r="H96" i="1"/>
  <c r="H98" i="1"/>
  <c r="H99" i="1"/>
  <c r="H100" i="1"/>
  <c r="H103" i="1"/>
  <c r="H104" i="1"/>
  <c r="H107" i="1"/>
  <c r="H108" i="1"/>
  <c r="H111" i="1"/>
  <c r="H112" i="1"/>
  <c r="H115" i="1"/>
  <c r="H116" i="1"/>
  <c r="H119" i="1"/>
  <c r="H120" i="1"/>
  <c r="H124" i="1"/>
  <c r="H127" i="1"/>
  <c r="H128" i="1"/>
  <c r="H130" i="1"/>
  <c r="H131" i="1"/>
  <c r="H132" i="1"/>
  <c r="H137" i="1"/>
  <c r="H138" i="1"/>
  <c r="H139" i="1"/>
  <c r="H140" i="1"/>
  <c r="H141" i="1"/>
  <c r="H142" i="1"/>
  <c r="H144" i="1"/>
  <c r="H147" i="1"/>
  <c r="H148" i="1"/>
  <c r="H151" i="1"/>
  <c r="H152" i="1"/>
  <c r="H155" i="1"/>
  <c r="H156" i="1"/>
  <c r="H160" i="1"/>
  <c r="H163" i="1"/>
  <c r="H164" i="1"/>
  <c r="H167" i="1"/>
  <c r="H168" i="1"/>
  <c r="H171" i="1"/>
  <c r="H172" i="1"/>
  <c r="H175" i="1"/>
  <c r="H179" i="1"/>
  <c r="H180" i="1"/>
  <c r="H183" i="1"/>
  <c r="H184" i="1"/>
  <c r="H185" i="1"/>
  <c r="H188" i="1"/>
  <c r="H191" i="1"/>
  <c r="H192" i="1"/>
  <c r="H195" i="1"/>
  <c r="H196" i="1"/>
  <c r="H200" i="1"/>
  <c r="H201" i="1"/>
  <c r="H203" i="1"/>
  <c r="H204" i="1"/>
  <c r="H205" i="1"/>
  <c r="H208" i="1"/>
  <c r="H211" i="1"/>
  <c r="H215" i="1"/>
  <c r="H216" i="1"/>
  <c r="H220" i="1"/>
  <c r="H223" i="1"/>
  <c r="H224" i="1"/>
  <c r="H227" i="1"/>
  <c r="H228" i="1"/>
  <c r="H231" i="1"/>
  <c r="H232" i="1"/>
  <c r="H235" i="1"/>
  <c r="H236" i="1"/>
  <c r="H240" i="1"/>
  <c r="H247" i="1"/>
  <c r="H248" i="1"/>
  <c r="H252" i="1"/>
  <c r="H255" i="1"/>
  <c r="H256" i="1"/>
  <c r="H259" i="1"/>
  <c r="H260" i="1"/>
  <c r="H263" i="1"/>
  <c r="H264" i="1"/>
  <c r="H267" i="1"/>
  <c r="H268" i="1"/>
  <c r="H271" i="1"/>
  <c r="H272" i="1"/>
  <c r="H275" i="1"/>
  <c r="H279" i="1"/>
  <c r="H280" i="1"/>
  <c r="H284" i="1"/>
  <c r="H287" i="1"/>
  <c r="H288" i="1"/>
  <c r="H291" i="1"/>
  <c r="H295" i="1"/>
  <c r="H296" i="1"/>
  <c r="H299" i="1"/>
  <c r="H300" i="1"/>
  <c r="H303" i="1"/>
  <c r="H304" i="1"/>
  <c r="H307" i="1"/>
  <c r="H308" i="1"/>
  <c r="H311" i="1"/>
  <c r="H312" i="1"/>
  <c r="H316" i="1"/>
  <c r="H319" i="1"/>
  <c r="H320" i="1"/>
  <c r="H323" i="1"/>
  <c r="H330" i="1"/>
  <c r="H554" i="1"/>
  <c r="H786" i="1"/>
  <c r="H898" i="1"/>
  <c r="H878" i="1"/>
  <c r="H35" i="1"/>
  <c r="H55" i="1"/>
  <c r="H58" i="1"/>
  <c r="H63" i="1"/>
  <c r="H77" i="1"/>
  <c r="H95" i="1"/>
  <c r="H117" i="1"/>
  <c r="H123" i="1"/>
  <c r="H135" i="1"/>
  <c r="H143" i="1"/>
  <c r="H149" i="1"/>
  <c r="H159" i="1"/>
  <c r="H169" i="1"/>
  <c r="H181" i="1"/>
  <c r="H187" i="1"/>
  <c r="H197" i="1"/>
  <c r="H199" i="1"/>
  <c r="H207" i="1"/>
  <c r="H219" i="1"/>
  <c r="H221" i="1"/>
  <c r="H239" i="1"/>
  <c r="H243" i="1"/>
  <c r="H251" i="1"/>
  <c r="H253" i="1"/>
  <c r="H283" i="1"/>
  <c r="H290" i="1"/>
  <c r="H313" i="1"/>
  <c r="H315" i="1"/>
  <c r="I12" i="1"/>
  <c r="I13" i="1"/>
  <c r="I14" i="1"/>
  <c r="I15" i="1"/>
  <c r="I16" i="1"/>
  <c r="I17" i="1"/>
  <c r="I18" i="1"/>
  <c r="I19" i="1"/>
  <c r="I20" i="1"/>
  <c r="I21" i="1"/>
  <c r="I22" i="1"/>
  <c r="I23" i="1"/>
  <c r="I24" i="1"/>
  <c r="I25" i="1"/>
  <c r="I11" i="1"/>
  <c r="H26" i="1"/>
  <c r="H52" i="1"/>
  <c r="H92" i="1"/>
  <c r="H136" i="1"/>
  <c r="H176" i="1"/>
  <c r="H212" i="1"/>
  <c r="H244" i="1"/>
  <c r="H276" i="1"/>
  <c r="H281" i="1"/>
  <c r="H292" i="1"/>
  <c r="H324" i="1"/>
  <c r="H327" i="1"/>
  <c r="H331" i="1"/>
  <c r="H332" i="1"/>
  <c r="H335" i="1"/>
  <c r="H336" i="1"/>
  <c r="H339" i="1"/>
  <c r="H340" i="1"/>
  <c r="H343" i="1"/>
  <c r="H344" i="1"/>
  <c r="H345" i="1"/>
  <c r="H347" i="1"/>
  <c r="H348" i="1"/>
  <c r="H351" i="1"/>
  <c r="H352" i="1"/>
  <c r="H355" i="1"/>
  <c r="H356" i="1"/>
  <c r="H359" i="1"/>
  <c r="H360" i="1"/>
  <c r="H363" i="1"/>
  <c r="H364" i="1"/>
  <c r="H367" i="1"/>
  <c r="H368" i="1"/>
  <c r="H371" i="1"/>
  <c r="H372" i="1"/>
  <c r="H375" i="1"/>
  <c r="H376" i="1"/>
  <c r="H379" i="1"/>
  <c r="H380" i="1"/>
  <c r="H383" i="1"/>
  <c r="H384" i="1"/>
  <c r="H387" i="1"/>
  <c r="H388" i="1"/>
  <c r="H391" i="1"/>
  <c r="H392" i="1"/>
  <c r="H395" i="1"/>
  <c r="H396" i="1"/>
  <c r="H399" i="1"/>
  <c r="H400" i="1"/>
  <c r="H403" i="1"/>
  <c r="H404" i="1"/>
  <c r="H407" i="1"/>
  <c r="H408" i="1"/>
  <c r="H411" i="1"/>
  <c r="H412" i="1"/>
  <c r="H415" i="1"/>
  <c r="H416" i="1"/>
  <c r="H419" i="1"/>
  <c r="H420" i="1"/>
  <c r="H423" i="1"/>
  <c r="H424" i="1"/>
  <c r="H427" i="1"/>
  <c r="H428" i="1"/>
  <c r="H431" i="1"/>
  <c r="H432" i="1"/>
  <c r="H435" i="1"/>
  <c r="H436" i="1"/>
  <c r="H439" i="1"/>
  <c r="H440" i="1"/>
  <c r="H443" i="1"/>
  <c r="H444" i="1"/>
  <c r="H447" i="1"/>
  <c r="H448" i="1"/>
  <c r="H451" i="1"/>
  <c r="H452" i="1"/>
  <c r="H455" i="1"/>
  <c r="H456" i="1"/>
  <c r="H459" i="1"/>
  <c r="H460" i="1"/>
  <c r="H463" i="1"/>
  <c r="H464" i="1"/>
  <c r="H467" i="1"/>
  <c r="H468" i="1"/>
  <c r="H471" i="1"/>
  <c r="H472" i="1"/>
  <c r="H473" i="1"/>
  <c r="H475" i="1"/>
  <c r="H476" i="1"/>
  <c r="H479" i="1"/>
  <c r="H480" i="1"/>
  <c r="H483" i="1"/>
  <c r="H484" i="1"/>
  <c r="H487" i="1"/>
  <c r="H488" i="1"/>
  <c r="H491" i="1"/>
  <c r="H492" i="1"/>
  <c r="H495" i="1"/>
  <c r="H496" i="1"/>
  <c r="H499" i="1"/>
  <c r="H500" i="1"/>
  <c r="H503" i="1"/>
  <c r="H504" i="1"/>
  <c r="H505" i="1"/>
  <c r="H507" i="1"/>
  <c r="H508" i="1"/>
  <c r="H511" i="1"/>
  <c r="H512" i="1"/>
  <c r="H515" i="1"/>
  <c r="H516" i="1"/>
  <c r="H519" i="1"/>
  <c r="H520" i="1"/>
  <c r="H523" i="1"/>
  <c r="H524" i="1"/>
  <c r="H527" i="1"/>
  <c r="H528" i="1"/>
  <c r="H531" i="1"/>
  <c r="H532" i="1"/>
  <c r="H535" i="1"/>
  <c r="H536" i="1"/>
  <c r="H539" i="1"/>
  <c r="H540" i="1"/>
  <c r="H543" i="1"/>
  <c r="H544" i="1"/>
  <c r="H547" i="1"/>
  <c r="H548" i="1"/>
  <c r="H551" i="1"/>
  <c r="H552" i="1"/>
  <c r="H555" i="1"/>
  <c r="H556" i="1"/>
  <c r="H559" i="1"/>
  <c r="H560" i="1"/>
  <c r="H563" i="1"/>
  <c r="H564" i="1"/>
  <c r="H567" i="1"/>
  <c r="H568" i="1"/>
  <c r="H571" i="1"/>
  <c r="H572" i="1"/>
  <c r="H575" i="1"/>
  <c r="H576" i="1"/>
  <c r="H579" i="1"/>
  <c r="H580" i="1"/>
  <c r="H583" i="1"/>
  <c r="H584" i="1"/>
  <c r="H587" i="1"/>
  <c r="H588" i="1"/>
  <c r="H591" i="1"/>
  <c r="H592" i="1"/>
  <c r="H595" i="1"/>
  <c r="H596" i="1"/>
  <c r="H599" i="1"/>
  <c r="H600" i="1"/>
  <c r="H603" i="1"/>
  <c r="H604" i="1"/>
  <c r="H607" i="1"/>
  <c r="H608" i="1"/>
  <c r="H611" i="1"/>
  <c r="H612" i="1"/>
  <c r="H615" i="1"/>
  <c r="H616" i="1"/>
  <c r="H619" i="1"/>
  <c r="H620" i="1"/>
  <c r="H623" i="1"/>
  <c r="H624" i="1"/>
  <c r="H627" i="1"/>
  <c r="H628" i="1"/>
  <c r="H631" i="1"/>
  <c r="H632" i="1"/>
  <c r="H633" i="1"/>
  <c r="H635" i="1"/>
  <c r="H636" i="1"/>
  <c r="H639" i="1"/>
  <c r="H640" i="1"/>
  <c r="H643" i="1"/>
  <c r="H644" i="1"/>
  <c r="H647" i="1"/>
  <c r="H648" i="1"/>
  <c r="H651" i="1"/>
  <c r="H652" i="1"/>
  <c r="H655" i="1"/>
  <c r="H656" i="1"/>
  <c r="H659" i="1"/>
  <c r="H660" i="1"/>
  <c r="H663" i="1"/>
  <c r="H664" i="1"/>
  <c r="H665" i="1"/>
  <c r="H667" i="1"/>
  <c r="H668" i="1"/>
  <c r="H671" i="1"/>
  <c r="H672" i="1"/>
  <c r="H675" i="1"/>
  <c r="H676" i="1"/>
  <c r="H679" i="1"/>
  <c r="H680" i="1"/>
  <c r="H683" i="1"/>
  <c r="H684" i="1"/>
  <c r="H687" i="1"/>
  <c r="H688" i="1"/>
  <c r="H691" i="1"/>
  <c r="H692" i="1"/>
  <c r="H695" i="1"/>
  <c r="H696" i="1"/>
  <c r="H699" i="1"/>
  <c r="H700" i="1"/>
  <c r="H703" i="1"/>
  <c r="H704" i="1"/>
  <c r="H707" i="1"/>
  <c r="H708" i="1"/>
  <c r="H711" i="1"/>
  <c r="H712" i="1"/>
  <c r="H715" i="1"/>
  <c r="H716" i="1"/>
  <c r="H719" i="1"/>
  <c r="H720" i="1"/>
  <c r="H723" i="1"/>
  <c r="H724" i="1"/>
  <c r="H727" i="1"/>
  <c r="H728" i="1"/>
  <c r="H731" i="1"/>
  <c r="H732" i="1"/>
  <c r="H735" i="1"/>
  <c r="H736" i="1"/>
  <c r="H739" i="1"/>
  <c r="H740" i="1"/>
  <c r="H743" i="1"/>
  <c r="H744" i="1"/>
  <c r="H747" i="1"/>
  <c r="H748" i="1"/>
  <c r="H751" i="1"/>
  <c r="H752" i="1"/>
  <c r="H755" i="1"/>
  <c r="H756" i="1"/>
  <c r="H759" i="1"/>
  <c r="H760" i="1"/>
  <c r="H763" i="1"/>
  <c r="H764" i="1"/>
  <c r="H767" i="1"/>
  <c r="H768" i="1"/>
  <c r="H771" i="1"/>
  <c r="H772" i="1"/>
  <c r="H775" i="1"/>
  <c r="H776" i="1"/>
  <c r="H779" i="1"/>
  <c r="H780" i="1"/>
  <c r="H783" i="1"/>
  <c r="H784" i="1"/>
  <c r="H787" i="1"/>
  <c r="H788" i="1"/>
  <c r="H791" i="1"/>
  <c r="H792" i="1"/>
  <c r="H793" i="1"/>
  <c r="H795" i="1"/>
  <c r="H796" i="1"/>
  <c r="H799" i="1"/>
  <c r="H800" i="1"/>
  <c r="H803" i="1"/>
  <c r="H804" i="1"/>
  <c r="H807" i="1"/>
  <c r="H808" i="1"/>
  <c r="H811" i="1"/>
  <c r="H812" i="1"/>
  <c r="H815" i="1"/>
  <c r="H816" i="1"/>
  <c r="H819" i="1"/>
  <c r="H820" i="1"/>
  <c r="H823" i="1"/>
  <c r="H824" i="1"/>
  <c r="H827" i="1"/>
  <c r="H828" i="1"/>
  <c r="H831" i="1"/>
  <c r="H832" i="1"/>
  <c r="H835" i="1"/>
  <c r="H836" i="1"/>
  <c r="H839" i="1"/>
  <c r="H840" i="1"/>
  <c r="H843" i="1"/>
  <c r="H844" i="1"/>
  <c r="H847" i="1"/>
  <c r="H848" i="1"/>
  <c r="H851" i="1"/>
  <c r="H852" i="1"/>
  <c r="H855" i="1"/>
  <c r="H856" i="1"/>
  <c r="H859" i="1"/>
  <c r="H860" i="1"/>
  <c r="H863" i="1"/>
  <c r="H864" i="1"/>
  <c r="H867" i="1"/>
  <c r="H868" i="1"/>
  <c r="H871" i="1"/>
  <c r="H872" i="1"/>
  <c r="H875" i="1"/>
  <c r="H876" i="1"/>
  <c r="H879" i="1"/>
  <c r="H880" i="1"/>
  <c r="H883" i="1"/>
  <c r="H884" i="1"/>
  <c r="H887" i="1"/>
  <c r="H888" i="1"/>
  <c r="H891" i="1"/>
  <c r="H892" i="1"/>
  <c r="H895" i="1"/>
  <c r="H896" i="1"/>
  <c r="H899" i="1"/>
  <c r="H900" i="1"/>
  <c r="H903" i="1"/>
  <c r="H904" i="1"/>
  <c r="H907" i="1"/>
  <c r="H908" i="1"/>
  <c r="H911" i="1"/>
  <c r="H912" i="1"/>
  <c r="H915" i="1"/>
  <c r="H916" i="1"/>
  <c r="H12" i="1"/>
  <c r="H13" i="1"/>
  <c r="H14" i="1"/>
  <c r="H15" i="1"/>
  <c r="H16" i="1"/>
  <c r="H17" i="1"/>
  <c r="H18" i="1"/>
  <c r="H19" i="1"/>
  <c r="H20" i="1"/>
  <c r="H21" i="1"/>
  <c r="H22" i="1"/>
  <c r="H23" i="1"/>
  <c r="H24" i="1"/>
  <c r="H25" i="1"/>
  <c r="H11" i="1"/>
  <c r="N4" i="4"/>
  <c r="S4" i="4"/>
  <c r="AV13" i="4" l="1"/>
  <c r="AV16" i="4"/>
  <c r="AV19" i="4"/>
  <c r="AV15" i="4"/>
  <c r="AV20" i="4"/>
  <c r="AV12" i="4"/>
  <c r="AV18" i="4"/>
  <c r="AV14" i="4"/>
  <c r="AV21" i="4"/>
  <c r="AV17" i="4"/>
  <c r="AF9" i="4"/>
  <c r="AF10" i="4"/>
  <c r="J141" i="1"/>
  <c r="J38" i="1"/>
  <c r="J817" i="1"/>
  <c r="J641" i="1"/>
  <c r="J816" i="1"/>
  <c r="J464" i="1"/>
  <c r="J913" i="1"/>
  <c r="J737" i="1"/>
  <c r="J561" i="1"/>
  <c r="J353" i="1"/>
  <c r="J465" i="1"/>
  <c r="J640" i="1"/>
  <c r="J430" i="1"/>
  <c r="J182" i="1"/>
  <c r="J98" i="1"/>
  <c r="J912" i="1"/>
  <c r="J736" i="1"/>
  <c r="J544" i="1"/>
  <c r="J312" i="1"/>
  <c r="J865" i="1"/>
  <c r="J785" i="1"/>
  <c r="J689" i="1"/>
  <c r="J593" i="1"/>
  <c r="J513" i="1"/>
  <c r="J410" i="1"/>
  <c r="J226" i="1"/>
  <c r="J864" i="1"/>
  <c r="J768" i="1"/>
  <c r="J592" i="1"/>
  <c r="J512" i="1"/>
  <c r="J409" i="1"/>
  <c r="J225" i="1"/>
  <c r="J881" i="1"/>
  <c r="J833" i="1"/>
  <c r="J769" i="1"/>
  <c r="J721" i="1"/>
  <c r="J657" i="1"/>
  <c r="J609" i="1"/>
  <c r="J545" i="1"/>
  <c r="J497" i="1"/>
  <c r="J385" i="1"/>
  <c r="J97" i="1"/>
  <c r="J897" i="1"/>
  <c r="J849" i="1"/>
  <c r="J801" i="1"/>
  <c r="J753" i="1"/>
  <c r="J705" i="1"/>
  <c r="J673" i="1"/>
  <c r="J625" i="1"/>
  <c r="J577" i="1"/>
  <c r="J529" i="1"/>
  <c r="J481" i="1"/>
  <c r="J386" i="1"/>
  <c r="J269" i="1"/>
  <c r="J184" i="1"/>
  <c r="J896" i="1"/>
  <c r="J832" i="1"/>
  <c r="J784" i="1"/>
  <c r="J720" i="1"/>
  <c r="J672" i="1"/>
  <c r="J608" i="1"/>
  <c r="J560" i="1"/>
  <c r="J496" i="1"/>
  <c r="J448" i="1"/>
  <c r="J140" i="1"/>
  <c r="J56" i="1"/>
  <c r="J880" i="1"/>
  <c r="J848" i="1"/>
  <c r="J800" i="1"/>
  <c r="J752" i="1"/>
  <c r="J704" i="1"/>
  <c r="J656" i="1"/>
  <c r="J624" i="1"/>
  <c r="J576" i="1"/>
  <c r="J528" i="1"/>
  <c r="J480" i="1"/>
  <c r="J432" i="1"/>
  <c r="J354" i="1"/>
  <c r="J268" i="1"/>
  <c r="J11" i="1"/>
  <c r="J16" i="1"/>
  <c r="J20" i="1"/>
  <c r="J24" i="1"/>
  <c r="J30" i="1"/>
  <c r="J35" i="1"/>
  <c r="J39" i="1"/>
  <c r="J43" i="1"/>
  <c r="J47" i="1"/>
  <c r="J51" i="1"/>
  <c r="J55" i="1"/>
  <c r="J59" i="1"/>
  <c r="J63" i="1"/>
  <c r="J67" i="1"/>
  <c r="J71" i="1"/>
  <c r="J75" i="1"/>
  <c r="J79" i="1"/>
  <c r="J83" i="1"/>
  <c r="J87" i="1"/>
  <c r="J91" i="1"/>
  <c r="J95" i="1"/>
  <c r="J99" i="1"/>
  <c r="J103" i="1"/>
  <c r="J107" i="1"/>
  <c r="J111" i="1"/>
  <c r="J115" i="1"/>
  <c r="J119" i="1"/>
  <c r="J123" i="1"/>
  <c r="J127" i="1"/>
  <c r="J131" i="1"/>
  <c r="J135" i="1"/>
  <c r="J139" i="1"/>
  <c r="J143" i="1"/>
  <c r="J147" i="1"/>
  <c r="J151" i="1"/>
  <c r="J155" i="1"/>
  <c r="J159" i="1"/>
  <c r="J163" i="1"/>
  <c r="J167" i="1"/>
  <c r="J171" i="1"/>
  <c r="J175" i="1"/>
  <c r="J179" i="1"/>
  <c r="J183" i="1"/>
  <c r="J187" i="1"/>
  <c r="J191" i="1"/>
  <c r="J195" i="1"/>
  <c r="J199" i="1"/>
  <c r="J203" i="1"/>
  <c r="J207" i="1"/>
  <c r="J211" i="1"/>
  <c r="J215" i="1"/>
  <c r="J219" i="1"/>
  <c r="J223" i="1"/>
  <c r="J227" i="1"/>
  <c r="J231" i="1"/>
  <c r="J235" i="1"/>
  <c r="J239" i="1"/>
  <c r="J243" i="1"/>
  <c r="J247" i="1"/>
  <c r="J251" i="1"/>
  <c r="J255" i="1"/>
  <c r="J259" i="1"/>
  <c r="J263" i="1"/>
  <c r="J267" i="1"/>
  <c r="J271" i="1"/>
  <c r="J275" i="1"/>
  <c r="J279" i="1"/>
  <c r="J283" i="1"/>
  <c r="J287" i="1"/>
  <c r="J291" i="1"/>
  <c r="J295" i="1"/>
  <c r="J299" i="1"/>
  <c r="J303" i="1"/>
  <c r="J307" i="1"/>
  <c r="J311" i="1"/>
  <c r="J315" i="1"/>
  <c r="J319" i="1"/>
  <c r="J323" i="1"/>
  <c r="J327" i="1"/>
  <c r="J331" i="1"/>
  <c r="J335" i="1"/>
  <c r="J339" i="1"/>
  <c r="J343" i="1"/>
  <c r="J347" i="1"/>
  <c r="J351" i="1"/>
  <c r="J22" i="1"/>
  <c r="J29" i="1"/>
  <c r="J36" i="1"/>
  <c r="J41" i="1"/>
  <c r="J46" i="1"/>
  <c r="J52" i="1"/>
  <c r="J57" i="1"/>
  <c r="J62" i="1"/>
  <c r="J68" i="1"/>
  <c r="J73" i="1"/>
  <c r="J78" i="1"/>
  <c r="J84" i="1"/>
  <c r="J89" i="1"/>
  <c r="J94" i="1"/>
  <c r="J100" i="1"/>
  <c r="J105" i="1"/>
  <c r="J110" i="1"/>
  <c r="J116" i="1"/>
  <c r="J121" i="1"/>
  <c r="J126" i="1"/>
  <c r="J132" i="1"/>
  <c r="J137" i="1"/>
  <c r="J142" i="1"/>
  <c r="J148" i="1"/>
  <c r="J153" i="1"/>
  <c r="J164" i="1"/>
  <c r="J169" i="1"/>
  <c r="J174" i="1"/>
  <c r="J180" i="1"/>
  <c r="J185" i="1"/>
  <c r="J190" i="1"/>
  <c r="J196" i="1"/>
  <c r="J201" i="1"/>
  <c r="J206" i="1"/>
  <c r="J212" i="1"/>
  <c r="J217" i="1"/>
  <c r="J222" i="1"/>
  <c r="J228" i="1"/>
  <c r="J233" i="1"/>
  <c r="J238" i="1"/>
  <c r="J244" i="1"/>
  <c r="J249" i="1"/>
  <c r="J254" i="1"/>
  <c r="J260" i="1"/>
  <c r="J265" i="1"/>
  <c r="J270" i="1"/>
  <c r="J276" i="1"/>
  <c r="J281" i="1"/>
  <c r="J286" i="1"/>
  <c r="J292" i="1"/>
  <c r="J297" i="1"/>
  <c r="J302" i="1"/>
  <c r="J308" i="1"/>
  <c r="J313" i="1"/>
  <c r="J318" i="1"/>
  <c r="J324" i="1"/>
  <c r="J329" i="1"/>
  <c r="J334" i="1"/>
  <c r="J345" i="1"/>
  <c r="J350" i="1"/>
  <c r="J355" i="1"/>
  <c r="J359" i="1"/>
  <c r="J363" i="1"/>
  <c r="J367" i="1"/>
  <c r="J371" i="1"/>
  <c r="J375" i="1"/>
  <c r="J379" i="1"/>
  <c r="J383" i="1"/>
  <c r="J387" i="1"/>
  <c r="J391" i="1"/>
  <c r="J399" i="1"/>
  <c r="J403" i="1"/>
  <c r="J407" i="1"/>
  <c r="J411" i="1"/>
  <c r="J415" i="1"/>
  <c r="J419" i="1"/>
  <c r="J423" i="1"/>
  <c r="J427" i="1"/>
  <c r="J431" i="1"/>
  <c r="J435" i="1"/>
  <c r="J12" i="1"/>
  <c r="J18" i="1"/>
  <c r="J23" i="1"/>
  <c r="J31" i="1"/>
  <c r="J37" i="1"/>
  <c r="J42" i="1"/>
  <c r="J48" i="1"/>
  <c r="J53" i="1"/>
  <c r="J58" i="1"/>
  <c r="J64" i="1"/>
  <c r="J69" i="1"/>
  <c r="J74" i="1"/>
  <c r="J80" i="1"/>
  <c r="J85" i="1"/>
  <c r="J90" i="1"/>
  <c r="J96" i="1"/>
  <c r="J101" i="1"/>
  <c r="J106" i="1"/>
  <c r="J112" i="1"/>
  <c r="J117" i="1"/>
  <c r="J122" i="1"/>
  <c r="J128" i="1"/>
  <c r="J133" i="1"/>
  <c r="J138" i="1"/>
  <c r="J144" i="1"/>
  <c r="J149" i="1"/>
  <c r="J154" i="1"/>
  <c r="J160" i="1"/>
  <c r="J165" i="1"/>
  <c r="J170" i="1"/>
  <c r="J176" i="1"/>
  <c r="J181" i="1"/>
  <c r="J186" i="1"/>
  <c r="J192" i="1"/>
  <c r="J197" i="1"/>
  <c r="J202" i="1"/>
  <c r="J208" i="1"/>
  <c r="J213" i="1"/>
  <c r="J218" i="1"/>
  <c r="J224" i="1"/>
  <c r="J229" i="1"/>
  <c r="J234" i="1"/>
  <c r="J240" i="1"/>
  <c r="J245" i="1"/>
  <c r="J250" i="1"/>
  <c r="J256" i="1"/>
  <c r="J261" i="1"/>
  <c r="J266" i="1"/>
  <c r="J272" i="1"/>
  <c r="J277" i="1"/>
  <c r="J288" i="1"/>
  <c r="J293" i="1"/>
  <c r="J298" i="1"/>
  <c r="J304" i="1"/>
  <c r="J309" i="1"/>
  <c r="J314" i="1"/>
  <c r="J320" i="1"/>
  <c r="J325" i="1"/>
  <c r="J330" i="1"/>
  <c r="J336" i="1"/>
  <c r="J341" i="1"/>
  <c r="J346" i="1"/>
  <c r="J352" i="1"/>
  <c r="J356" i="1"/>
  <c r="J360" i="1"/>
  <c r="J364" i="1"/>
  <c r="J372" i="1"/>
  <c r="J376" i="1"/>
  <c r="J384" i="1"/>
  <c r="J388" i="1"/>
  <c r="J392" i="1"/>
  <c r="J13" i="1"/>
  <c r="J26" i="1"/>
  <c r="J49" i="1"/>
  <c r="J60" i="1"/>
  <c r="J70" i="1"/>
  <c r="J81" i="1"/>
  <c r="J92" i="1"/>
  <c r="J102" i="1"/>
  <c r="J113" i="1"/>
  <c r="J124" i="1"/>
  <c r="J134" i="1"/>
  <c r="J145" i="1"/>
  <c r="J156" i="1"/>
  <c r="J166" i="1"/>
  <c r="J177" i="1"/>
  <c r="J188" i="1"/>
  <c r="J198" i="1"/>
  <c r="J209" i="1"/>
  <c r="J220" i="1"/>
  <c r="J230" i="1"/>
  <c r="J241" i="1"/>
  <c r="J252" i="1"/>
  <c r="J262" i="1"/>
  <c r="J273" i="1"/>
  <c r="J284" i="1"/>
  <c r="J294" i="1"/>
  <c r="J305" i="1"/>
  <c r="J316" i="1"/>
  <c r="J326" i="1"/>
  <c r="J348" i="1"/>
  <c r="J357" i="1"/>
  <c r="J365" i="1"/>
  <c r="J373" i="1"/>
  <c r="J381" i="1"/>
  <c r="J389" i="1"/>
  <c r="J396" i="1"/>
  <c r="J401" i="1"/>
  <c r="J406" i="1"/>
  <c r="J412" i="1"/>
  <c r="J417" i="1"/>
  <c r="J422" i="1"/>
  <c r="J428" i="1"/>
  <c r="J433" i="1"/>
  <c r="J438" i="1"/>
  <c r="J442" i="1"/>
  <c r="J446" i="1"/>
  <c r="J450" i="1"/>
  <c r="J454" i="1"/>
  <c r="J458" i="1"/>
  <c r="J462" i="1"/>
  <c r="J466" i="1"/>
  <c r="J470" i="1"/>
  <c r="J474" i="1"/>
  <c r="J478" i="1"/>
  <c r="J482" i="1"/>
  <c r="J486" i="1"/>
  <c r="J490" i="1"/>
  <c r="J494" i="1"/>
  <c r="J498" i="1"/>
  <c r="J502" i="1"/>
  <c r="J506" i="1"/>
  <c r="J510" i="1"/>
  <c r="J514" i="1"/>
  <c r="J518" i="1"/>
  <c r="J522" i="1"/>
  <c r="J526" i="1"/>
  <c r="J530" i="1"/>
  <c r="J534" i="1"/>
  <c r="J538" i="1"/>
  <c r="J542" i="1"/>
  <c r="J546" i="1"/>
  <c r="J554" i="1"/>
  <c r="J558" i="1"/>
  <c r="J562" i="1"/>
  <c r="J566" i="1"/>
  <c r="J570" i="1"/>
  <c r="J574" i="1"/>
  <c r="J578" i="1"/>
  <c r="J582" i="1"/>
  <c r="J586" i="1"/>
  <c r="J590" i="1"/>
  <c r="J594" i="1"/>
  <c r="J598" i="1"/>
  <c r="J602" i="1"/>
  <c r="J606" i="1"/>
  <c r="J610" i="1"/>
  <c r="J614" i="1"/>
  <c r="J618" i="1"/>
  <c r="J622" i="1"/>
  <c r="J626" i="1"/>
  <c r="J630" i="1"/>
  <c r="J634" i="1"/>
  <c r="J638" i="1"/>
  <c r="J642" i="1"/>
  <c r="J646" i="1"/>
  <c r="J650" i="1"/>
  <c r="J654" i="1"/>
  <c r="J658" i="1"/>
  <c r="J662" i="1"/>
  <c r="J666" i="1"/>
  <c r="J670" i="1"/>
  <c r="J674" i="1"/>
  <c r="J678" i="1"/>
  <c r="J682" i="1"/>
  <c r="J686" i="1"/>
  <c r="J690" i="1"/>
  <c r="J694" i="1"/>
  <c r="J698" i="1"/>
  <c r="J702" i="1"/>
  <c r="J706" i="1"/>
  <c r="J710" i="1"/>
  <c r="J714" i="1"/>
  <c r="J718" i="1"/>
  <c r="J722" i="1"/>
  <c r="J726" i="1"/>
  <c r="J730" i="1"/>
  <c r="J734" i="1"/>
  <c r="J738" i="1"/>
  <c r="J742" i="1"/>
  <c r="J746" i="1"/>
  <c r="J750" i="1"/>
  <c r="J754" i="1"/>
  <c r="J758" i="1"/>
  <c r="J762" i="1"/>
  <c r="J766" i="1"/>
  <c r="J770" i="1"/>
  <c r="J774" i="1"/>
  <c r="J778" i="1"/>
  <c r="J782" i="1"/>
  <c r="J786" i="1"/>
  <c r="J790" i="1"/>
  <c r="J794" i="1"/>
  <c r="J798" i="1"/>
  <c r="J802" i="1"/>
  <c r="J806" i="1"/>
  <c r="J810" i="1"/>
  <c r="J814" i="1"/>
  <c r="J818" i="1"/>
  <c r="J822" i="1"/>
  <c r="J826" i="1"/>
  <c r="J830" i="1"/>
  <c r="J834" i="1"/>
  <c r="J838" i="1"/>
  <c r="J842" i="1"/>
  <c r="J846" i="1"/>
  <c r="J850" i="1"/>
  <c r="J854" i="1"/>
  <c r="J858" i="1"/>
  <c r="J862" i="1"/>
  <c r="J866" i="1"/>
  <c r="J870" i="1"/>
  <c r="J874" i="1"/>
  <c r="J878" i="1"/>
  <c r="J882" i="1"/>
  <c r="J886" i="1"/>
  <c r="J890" i="1"/>
  <c r="J894" i="1"/>
  <c r="J902" i="1"/>
  <c r="J906" i="1"/>
  <c r="J910" i="1"/>
  <c r="J914" i="1"/>
  <c r="J14" i="1"/>
  <c r="J28" i="1"/>
  <c r="J40" i="1"/>
  <c r="J50" i="1"/>
  <c r="J61" i="1"/>
  <c r="J72" i="1"/>
  <c r="J82" i="1"/>
  <c r="J93" i="1"/>
  <c r="J104" i="1"/>
  <c r="J114" i="1"/>
  <c r="J125" i="1"/>
  <c r="J136" i="1"/>
  <c r="J146" i="1"/>
  <c r="J157" i="1"/>
  <c r="J168" i="1"/>
  <c r="J178" i="1"/>
  <c r="J189" i="1"/>
  <c r="J200" i="1"/>
  <c r="J210" i="1"/>
  <c r="J221" i="1"/>
  <c r="J232" i="1"/>
  <c r="J242" i="1"/>
  <c r="J253" i="1"/>
  <c r="J264" i="1"/>
  <c r="J274" i="1"/>
  <c r="J285" i="1"/>
  <c r="J296" i="1"/>
  <c r="J306" i="1"/>
  <c r="J317" i="1"/>
  <c r="J328" i="1"/>
  <c r="J338" i="1"/>
  <c r="J349" i="1"/>
  <c r="J358" i="1"/>
  <c r="J366" i="1"/>
  <c r="J374" i="1"/>
  <c r="J382" i="1"/>
  <c r="J390" i="1"/>
  <c r="J397" i="1"/>
  <c r="J402" i="1"/>
  <c r="J408" i="1"/>
  <c r="J413" i="1"/>
  <c r="J418" i="1"/>
  <c r="J424" i="1"/>
  <c r="J429" i="1"/>
  <c r="J434" i="1"/>
  <c r="J439" i="1"/>
  <c r="J443" i="1"/>
  <c r="J447" i="1"/>
  <c r="J451" i="1"/>
  <c r="J455" i="1"/>
  <c r="J459" i="1"/>
  <c r="J463" i="1"/>
  <c r="J467" i="1"/>
  <c r="J471" i="1"/>
  <c r="J475" i="1"/>
  <c r="J479" i="1"/>
  <c r="J483" i="1"/>
  <c r="J487" i="1"/>
  <c r="J491" i="1"/>
  <c r="J495" i="1"/>
  <c r="J499" i="1"/>
  <c r="J503" i="1"/>
  <c r="J507" i="1"/>
  <c r="J511" i="1"/>
  <c r="J515" i="1"/>
  <c r="J519" i="1"/>
  <c r="J523" i="1"/>
  <c r="J527" i="1"/>
  <c r="J531" i="1"/>
  <c r="J535" i="1"/>
  <c r="J539" i="1"/>
  <c r="J543" i="1"/>
  <c r="J547" i="1"/>
  <c r="J551" i="1"/>
  <c r="J555" i="1"/>
  <c r="J559" i="1"/>
  <c r="J563" i="1"/>
  <c r="J567" i="1"/>
  <c r="J571" i="1"/>
  <c r="J575" i="1"/>
  <c r="J579" i="1"/>
  <c r="J583" i="1"/>
  <c r="J587" i="1"/>
  <c r="J591" i="1"/>
  <c r="J595" i="1"/>
  <c r="J599" i="1"/>
  <c r="J603" i="1"/>
  <c r="J607" i="1"/>
  <c r="J611" i="1"/>
  <c r="J615" i="1"/>
  <c r="J619" i="1"/>
  <c r="J623" i="1"/>
  <c r="J627" i="1"/>
  <c r="J631" i="1"/>
  <c r="J635" i="1"/>
  <c r="J639" i="1"/>
  <c r="J643" i="1"/>
  <c r="J647" i="1"/>
  <c r="J651" i="1"/>
  <c r="J655" i="1"/>
  <c r="J659" i="1"/>
  <c r="J663" i="1"/>
  <c r="J667" i="1"/>
  <c r="J671" i="1"/>
  <c r="J675" i="1"/>
  <c r="J679" i="1"/>
  <c r="J683" i="1"/>
  <c r="J687" i="1"/>
  <c r="J691" i="1"/>
  <c r="J695" i="1"/>
  <c r="J699" i="1"/>
  <c r="J703" i="1"/>
  <c r="J707" i="1"/>
  <c r="J711" i="1"/>
  <c r="J715" i="1"/>
  <c r="J719" i="1"/>
  <c r="J723" i="1"/>
  <c r="J727" i="1"/>
  <c r="J731" i="1"/>
  <c r="J735" i="1"/>
  <c r="J739" i="1"/>
  <c r="J743" i="1"/>
  <c r="J747" i="1"/>
  <c r="J751" i="1"/>
  <c r="J755" i="1"/>
  <c r="J759" i="1"/>
  <c r="J763" i="1"/>
  <c r="J767" i="1"/>
  <c r="J771" i="1"/>
  <c r="J775" i="1"/>
  <c r="J779" i="1"/>
  <c r="J783" i="1"/>
  <c r="J787" i="1"/>
  <c r="J791" i="1"/>
  <c r="J795" i="1"/>
  <c r="J799" i="1"/>
  <c r="J803" i="1"/>
  <c r="J811" i="1"/>
  <c r="J815" i="1"/>
  <c r="J819" i="1"/>
  <c r="J823" i="1"/>
  <c r="J827" i="1"/>
  <c r="J831" i="1"/>
  <c r="J835" i="1"/>
  <c r="J839" i="1"/>
  <c r="J843" i="1"/>
  <c r="J847" i="1"/>
  <c r="J851" i="1"/>
  <c r="J855" i="1"/>
  <c r="J859" i="1"/>
  <c r="J863" i="1"/>
  <c r="J867" i="1"/>
  <c r="J871" i="1"/>
  <c r="J875" i="1"/>
  <c r="J879" i="1"/>
  <c r="J883" i="1"/>
  <c r="J887" i="1"/>
  <c r="J891" i="1"/>
  <c r="J895" i="1"/>
  <c r="J899" i="1"/>
  <c r="J903" i="1"/>
  <c r="J907" i="1"/>
  <c r="J911" i="1"/>
  <c r="J915" i="1"/>
  <c r="J19" i="1"/>
  <c r="J44" i="1"/>
  <c r="J65" i="1"/>
  <c r="J86" i="1"/>
  <c r="J108" i="1"/>
  <c r="J129" i="1"/>
  <c r="J150" i="1"/>
  <c r="J172" i="1"/>
  <c r="J193" i="1"/>
  <c r="J214" i="1"/>
  <c r="J236" i="1"/>
  <c r="J257" i="1"/>
  <c r="J278" i="1"/>
  <c r="J300" i="1"/>
  <c r="J321" i="1"/>
  <c r="J342" i="1"/>
  <c r="J361" i="1"/>
  <c r="J377" i="1"/>
  <c r="J393" i="1"/>
  <c r="J404" i="1"/>
  <c r="J414" i="1"/>
  <c r="J425" i="1"/>
  <c r="J436" i="1"/>
  <c r="J444" i="1"/>
  <c r="J452" i="1"/>
  <c r="J460" i="1"/>
  <c r="J468" i="1"/>
  <c r="J476" i="1"/>
  <c r="J484" i="1"/>
  <c r="J492" i="1"/>
  <c r="J500" i="1"/>
  <c r="J508" i="1"/>
  <c r="J516" i="1"/>
  <c r="J524" i="1"/>
  <c r="J532" i="1"/>
  <c r="J540" i="1"/>
  <c r="J548" i="1"/>
  <c r="J556" i="1"/>
  <c r="J564" i="1"/>
  <c r="J572" i="1"/>
  <c r="J580" i="1"/>
  <c r="J588" i="1"/>
  <c r="J596" i="1"/>
  <c r="J604" i="1"/>
  <c r="J612" i="1"/>
  <c r="J620" i="1"/>
  <c r="J628" i="1"/>
  <c r="J636" i="1"/>
  <c r="J644" i="1"/>
  <c r="J652" i="1"/>
  <c r="J660" i="1"/>
  <c r="J668" i="1"/>
  <c r="J676" i="1"/>
  <c r="J684" i="1"/>
  <c r="J692" i="1"/>
  <c r="J700" i="1"/>
  <c r="J708" i="1"/>
  <c r="J716" i="1"/>
  <c r="J724" i="1"/>
  <c r="J732" i="1"/>
  <c r="J740" i="1"/>
  <c r="J748" i="1"/>
  <c r="J756" i="1"/>
  <c r="J764" i="1"/>
  <c r="J772" i="1"/>
  <c r="J780" i="1"/>
  <c r="J788" i="1"/>
  <c r="J796" i="1"/>
  <c r="J804" i="1"/>
  <c r="J812" i="1"/>
  <c r="J820" i="1"/>
  <c r="J828" i="1"/>
  <c r="J836" i="1"/>
  <c r="J844" i="1"/>
  <c r="J852" i="1"/>
  <c r="J860" i="1"/>
  <c r="J868" i="1"/>
  <c r="J876" i="1"/>
  <c r="J892" i="1"/>
  <c r="J900" i="1"/>
  <c r="J908" i="1"/>
  <c r="J916" i="1"/>
  <c r="J21" i="1"/>
  <c r="J45" i="1"/>
  <c r="J66" i="1"/>
  <c r="J88" i="1"/>
  <c r="J109" i="1"/>
  <c r="J130" i="1"/>
  <c r="J152" i="1"/>
  <c r="J173" i="1"/>
  <c r="J194" i="1"/>
  <c r="J216" i="1"/>
  <c r="J237" i="1"/>
  <c r="J258" i="1"/>
  <c r="J280" i="1"/>
  <c r="J301" i="1"/>
  <c r="J322" i="1"/>
  <c r="J344" i="1"/>
  <c r="J362" i="1"/>
  <c r="J378" i="1"/>
  <c r="J394" i="1"/>
  <c r="J405" i="1"/>
  <c r="J416" i="1"/>
  <c r="J426" i="1"/>
  <c r="J437" i="1"/>
  <c r="J445" i="1"/>
  <c r="J453" i="1"/>
  <c r="J461" i="1"/>
  <c r="J469" i="1"/>
  <c r="J485" i="1"/>
  <c r="J501" i="1"/>
  <c r="J509" i="1"/>
  <c r="J517" i="1"/>
  <c r="J525" i="1"/>
  <c r="J533" i="1"/>
  <c r="J541" i="1"/>
  <c r="J549" i="1"/>
  <c r="J557" i="1"/>
  <c r="J565" i="1"/>
  <c r="J573" i="1"/>
  <c r="J581" i="1"/>
  <c r="J589" i="1"/>
  <c r="J597" i="1"/>
  <c r="J605" i="1"/>
  <c r="J613" i="1"/>
  <c r="J621" i="1"/>
  <c r="J629" i="1"/>
  <c r="J637" i="1"/>
  <c r="J653" i="1"/>
  <c r="J661" i="1"/>
  <c r="J669" i="1"/>
  <c r="J677" i="1"/>
  <c r="J685" i="1"/>
  <c r="J693" i="1"/>
  <c r="J701" i="1"/>
  <c r="J709" i="1"/>
  <c r="J717" i="1"/>
  <c r="J725" i="1"/>
  <c r="J733" i="1"/>
  <c r="J741" i="1"/>
  <c r="J749" i="1"/>
  <c r="J757" i="1"/>
  <c r="J765" i="1"/>
  <c r="J773" i="1"/>
  <c r="J781" i="1"/>
  <c r="J789" i="1"/>
  <c r="J797" i="1"/>
  <c r="J805" i="1"/>
  <c r="J813" i="1"/>
  <c r="J821" i="1"/>
  <c r="J829" i="1"/>
  <c r="J837" i="1"/>
  <c r="J845" i="1"/>
  <c r="J853" i="1"/>
  <c r="J861" i="1"/>
  <c r="J869" i="1"/>
  <c r="J877" i="1"/>
  <c r="J885" i="1"/>
  <c r="J893" i="1"/>
  <c r="J901" i="1"/>
  <c r="J909" i="1"/>
  <c r="J905" i="1"/>
  <c r="J889" i="1"/>
  <c r="J873" i="1"/>
  <c r="J857" i="1"/>
  <c r="J841" i="1"/>
  <c r="J825" i="1"/>
  <c r="J809" i="1"/>
  <c r="J793" i="1"/>
  <c r="J777" i="1"/>
  <c r="J761" i="1"/>
  <c r="J745" i="1"/>
  <c r="J729" i="1"/>
  <c r="J713" i="1"/>
  <c r="J697" i="1"/>
  <c r="J681" i="1"/>
  <c r="J665" i="1"/>
  <c r="J649" i="1"/>
  <c r="J633" i="1"/>
  <c r="J617" i="1"/>
  <c r="J601" i="1"/>
  <c r="J585" i="1"/>
  <c r="J569" i="1"/>
  <c r="J553" i="1"/>
  <c r="J537" i="1"/>
  <c r="J521" i="1"/>
  <c r="J505" i="1"/>
  <c r="J489" i="1"/>
  <c r="J473" i="1"/>
  <c r="J457" i="1"/>
  <c r="J441" i="1"/>
  <c r="J421" i="1"/>
  <c r="J400" i="1"/>
  <c r="J370" i="1"/>
  <c r="J333" i="1"/>
  <c r="J290" i="1"/>
  <c r="J248" i="1"/>
  <c r="J205" i="1"/>
  <c r="J162" i="1"/>
  <c r="J120" i="1"/>
  <c r="J77" i="1"/>
  <c r="J33" i="1"/>
  <c r="J310" i="1"/>
  <c r="J54" i="1"/>
  <c r="J888" i="1"/>
  <c r="J872" i="1"/>
  <c r="J856" i="1"/>
  <c r="J840" i="1"/>
  <c r="J824" i="1"/>
  <c r="J808" i="1"/>
  <c r="J792" i="1"/>
  <c r="J776" i="1"/>
  <c r="J760" i="1"/>
  <c r="J744" i="1"/>
  <c r="J728" i="1"/>
  <c r="J712" i="1"/>
  <c r="J696" i="1"/>
  <c r="J680" i="1"/>
  <c r="J664" i="1"/>
  <c r="J648" i="1"/>
  <c r="J632" i="1"/>
  <c r="J616" i="1"/>
  <c r="J600" i="1"/>
  <c r="J584" i="1"/>
  <c r="J568" i="1"/>
  <c r="J552" i="1"/>
  <c r="J536" i="1"/>
  <c r="J520" i="1"/>
  <c r="J504" i="1"/>
  <c r="J488" i="1"/>
  <c r="J472" i="1"/>
  <c r="J456" i="1"/>
  <c r="J440" i="1"/>
  <c r="J420" i="1"/>
  <c r="J398" i="1"/>
  <c r="J369" i="1"/>
  <c r="J332" i="1"/>
  <c r="J289" i="1"/>
  <c r="J246" i="1"/>
  <c r="J204" i="1"/>
  <c r="J161" i="1"/>
  <c r="J118" i="1"/>
  <c r="J76" i="1"/>
  <c r="J32" i="1"/>
  <c r="J34" i="1"/>
  <c r="I27" i="1"/>
  <c r="J27" i="1" s="1"/>
  <c r="H27"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<sst xmlns="http://schemas.openxmlformats.org/spreadsheetml/2006/main" count="3096" uniqueCount="327">
  <si>
    <t>Start Time</t>
  </si>
  <si>
    <t>Shift Duration Hours</t>
  </si>
  <si>
    <t>Day Off 1</t>
  </si>
  <si>
    <t>Day Off 2</t>
  </si>
  <si>
    <t>National Day</t>
  </si>
  <si>
    <t>Monthly Working Hours</t>
  </si>
  <si>
    <t>Weekly Working Hours</t>
  </si>
  <si>
    <t>Fri</t>
  </si>
  <si>
    <t>Sat</t>
  </si>
  <si>
    <t>Employee Name</t>
  </si>
  <si>
    <t>Date</t>
  </si>
  <si>
    <t>Day</t>
  </si>
  <si>
    <t>Time In</t>
  </si>
  <si>
    <t>Time Out</t>
  </si>
  <si>
    <t>Delay</t>
  </si>
  <si>
    <t>Working Hours</t>
  </si>
  <si>
    <t>Short</t>
  </si>
  <si>
    <t>Note</t>
  </si>
  <si>
    <t>Wed</t>
  </si>
  <si>
    <t>Thu</t>
  </si>
  <si>
    <t>Sun</t>
  </si>
  <si>
    <t>Mon</t>
  </si>
  <si>
    <t>Tue</t>
  </si>
  <si>
    <t>Name</t>
  </si>
  <si>
    <t>ID Number</t>
  </si>
  <si>
    <t>Sector</t>
  </si>
  <si>
    <t>Job Title</t>
  </si>
  <si>
    <t>Job Description</t>
  </si>
  <si>
    <t>Department</t>
  </si>
  <si>
    <t>Position Level</t>
  </si>
  <si>
    <t>Manager Name</t>
  </si>
  <si>
    <t>Nationality</t>
  </si>
  <si>
    <t>Salary</t>
  </si>
  <si>
    <t>Hiring Date</t>
  </si>
  <si>
    <t>Charles Ricky</t>
  </si>
  <si>
    <t>205-14211</t>
  </si>
  <si>
    <t>Cloud INF</t>
  </si>
  <si>
    <t>Network Architect</t>
  </si>
  <si>
    <t>Planning</t>
  </si>
  <si>
    <t>Mid-level</t>
  </si>
  <si>
    <t>Hossam K.</t>
  </si>
  <si>
    <t>Egyptian</t>
  </si>
  <si>
    <t>8/18/20</t>
  </si>
  <si>
    <t>Richard Jeo</t>
  </si>
  <si>
    <t>905-27875</t>
  </si>
  <si>
    <t>E-Commerce</t>
  </si>
  <si>
    <t>Software Developer</t>
  </si>
  <si>
    <t>Marketing</t>
  </si>
  <si>
    <t>Intermediate</t>
  </si>
  <si>
    <t>Joseph Mike</t>
  </si>
  <si>
    <t>Morocco</t>
  </si>
  <si>
    <t>7/10/20</t>
  </si>
  <si>
    <t>Thomas Joey</t>
  </si>
  <si>
    <t>443-22053</t>
  </si>
  <si>
    <t>Real Estate</t>
  </si>
  <si>
    <t>Human Resources Assistant</t>
  </si>
  <si>
    <t>Palestinian</t>
  </si>
  <si>
    <t>7/25/22</t>
  </si>
  <si>
    <t>Hossam Khild</t>
  </si>
  <si>
    <t>332-05342</t>
  </si>
  <si>
    <t>Construction</t>
  </si>
  <si>
    <t>Customer Service Representative</t>
  </si>
  <si>
    <t>Head Office</t>
  </si>
  <si>
    <t>Aman Sohal</t>
  </si>
  <si>
    <t>8/15/22</t>
  </si>
  <si>
    <t>105-27875</t>
  </si>
  <si>
    <t>Tos Richard</t>
  </si>
  <si>
    <t>Lebanon</t>
  </si>
  <si>
    <t>Ali Charle</t>
  </si>
  <si>
    <t>652-20589</t>
  </si>
  <si>
    <t>Holi</t>
  </si>
  <si>
    <t>MAHARASTRA DAY</t>
  </si>
  <si>
    <t>Makar Sankranti / Pongal</t>
  </si>
  <si>
    <t>TIME</t>
  </si>
  <si>
    <t>SHEET</t>
  </si>
  <si>
    <t>Row Labels</t>
  </si>
  <si>
    <t>Grand Total</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</si>
  <si>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</si>
  <si>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</si>
  <si>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</si>
  <si>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</si>
  <si>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</si>
  <si>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</si>
  <si>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</si>
  <si>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</si>
  <si>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</si>
  <si>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</si>
  <si>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</si>
  <si>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</si>
  <si>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</si>
  <si>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</si>
  <si>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</si>
  <si>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</si>
  <si>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</si>
  <si>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</si>
  <si>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</si>
  <si>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</si>
  <si>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</si>
  <si>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</si>
  <si>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</si>
  <si>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</si>
  <si>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</si>
  <si>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</si>
  <si>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</si>
  <si>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</si>
  <si>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</si>
  <si>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</si>
  <si>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</si>
  <si>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Attendance</t>
  </si>
  <si>
    <t>Days total attended</t>
  </si>
  <si>
    <t>ON TIME</t>
  </si>
  <si>
    <t>LATE</t>
  </si>
  <si>
    <t>Days attended</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</si>
  <si>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</si>
  <si>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</si>
  <si>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</si>
  <si>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</si>
  <si>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</si>
  <si>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</si>
  <si>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</si>
  <si>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</si>
  <si>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</si>
  <si>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</si>
  <si>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</si>
  <si>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</si>
  <si>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</si>
  <si>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</si>
  <si>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</si>
  <si>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</si>
  <si>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</si>
  <si>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</si>
  <si>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</si>
  <si>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</si>
  <si>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</si>
  <si>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</si>
  <si>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</si>
  <si>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</si>
  <si>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</si>
  <si>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</si>
  <si>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</si>
  <si>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</si>
  <si>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</si>
  <si>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</si>
  <si>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</si>
  <si>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</si>
  <si>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</si>
  <si>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</si>
  <si>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</si>
  <si>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</si>
  <si>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</si>
  <si>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</si>
  <si>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</si>
  <si>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</si>
  <si>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</si>
  <si>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</si>
  <si>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</si>
  <si>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</si>
  <si>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</si>
  <si>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</si>
  <si>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</si>
  <si>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</si>
  <si>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</si>
  <si>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</si>
  <si>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</si>
  <si>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</si>
  <si>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</si>
  <si>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</si>
  <si>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</si>
  <si>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</si>
  <si>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</si>
  <si>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</si>
  <si>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</si>
  <si>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</si>
  <si>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</si>
  <si>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</si>
  <si>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</si>
  <si>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</si>
  <si>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</si>
  <si>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</si>
  <si>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</si>
  <si>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</si>
  <si>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</si>
  <si>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</si>
  <si>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</si>
  <si>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</si>
  <si>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</si>
  <si>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</si>
  <si>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</si>
  <si>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</si>
  <si>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</si>
  <si>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</si>
  <si>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</si>
  <si>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</si>
  <si>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</si>
  <si>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</si>
  <si>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</si>
  <si>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</si>
  <si>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</si>
  <si>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</si>
  <si>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</si>
  <si>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</si>
  <si>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</si>
  <si>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</si>
  <si>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</si>
  <si>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</si>
  <si>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</si>
  <si>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</si>
  <si>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</si>
  <si>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</si>
  <si>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</si>
  <si>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</si>
  <si>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</si>
  <si>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</si>
  <si>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</si>
  <si>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</si>
  <si>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</si>
  <si>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</si>
  <si>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</si>
  <si>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</si>
  <si>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</si>
  <si>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</si>
  <si>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</si>
  <si>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</si>
  <si>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</si>
  <si>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</si>
  <si>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</si>
  <si>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</si>
  <si>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</si>
  <si>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</si>
  <si>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</si>
  <si>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</si>
  <si>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</si>
  <si>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</si>
  <si>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Sum of Time In</t>
  </si>
  <si>
    <t>Sum of Time Out</t>
  </si>
  <si>
    <t>Working Hour</t>
  </si>
  <si>
    <t>Late Attendenced</t>
  </si>
  <si>
    <t>Sum of Delay</t>
  </si>
  <si>
    <t>ABSENT</t>
  </si>
  <si>
    <t xml:space="preserve"> </t>
  </si>
  <si>
    <t>DAY OFF</t>
  </si>
  <si>
    <t>NATIONAL DAY OF INDIA</t>
  </si>
  <si>
    <t>Count of Note</t>
  </si>
  <si>
    <t xml:space="preserve">HR POLICY </t>
  </si>
  <si>
    <t xml:space="preserve">Needs Manager Approval </t>
  </si>
  <si>
    <t xml:space="preserve">Needs Director Approval </t>
  </si>
  <si>
    <t>Needs GM Approval</t>
  </si>
  <si>
    <t>OVERTIME HOUR</t>
  </si>
  <si>
    <t>More than 8 Hour</t>
  </si>
  <si>
    <t>:00</t>
  </si>
  <si>
    <t>:05</t>
  </si>
  <si>
    <t>:08</t>
  </si>
  <si>
    <t>:10</t>
  </si>
  <si>
    <t>:11</t>
  </si>
  <si>
    <t>:12</t>
  </si>
  <si>
    <t>:17</t>
  </si>
  <si>
    <t>:23</t>
  </si>
  <si>
    <t>:24</t>
  </si>
  <si>
    <t>:26</t>
  </si>
  <si>
    <t>:28</t>
  </si>
  <si>
    <t>:30</t>
  </si>
  <si>
    <t>:32</t>
  </si>
  <si>
    <t>:40</t>
  </si>
  <si>
    <t>:41</t>
  </si>
  <si>
    <t>:43</t>
  </si>
  <si>
    <t>:46</t>
  </si>
  <si>
    <t>:49</t>
  </si>
  <si>
    <t>:53</t>
  </si>
  <si>
    <t>Jan</t>
  </si>
  <si>
    <t>Feb</t>
  </si>
  <si>
    <t>Mar</t>
  </si>
  <si>
    <t>Apr</t>
  </si>
  <si>
    <t>May</t>
  </si>
  <si>
    <t>Sum of Working Hours</t>
  </si>
  <si>
    <t>EMP INFORMATION</t>
  </si>
  <si>
    <t>A Network Architect designs, builds, and optimizes secure network infrastructure, including LANS, WANs, and cloud networks, to meet organizational needs. Strong expertise in network technologies, cloud platforms, and security is essential for this role.</t>
  </si>
  <si>
    <t xml:space="preserve">The Human Resources Assistant is responsible for supporting daily HR functions and assisting in various administrative tasks. The role focuses on employee onboarding, maintaining HR records, payroll processing support, and general employee communication. </t>
  </si>
  <si>
    <t>Responds to customer inquiries, resolves issues via phone, email, or chat, provides product/service information, and ensures a positive customer experience. Assists in troubleshooting and escalates complex issues when needed.</t>
  </si>
  <si>
    <t>Designs, develops, tests, and maintains software applications. Collaborates with teams to deliver technical solutions and improve system performance.</t>
  </si>
  <si>
    <t xml:space="preserve"> y67</t>
  </si>
  <si>
    <t>China</t>
  </si>
  <si>
    <t>Indian</t>
  </si>
  <si>
    <t>Fill Details</t>
  </si>
  <si>
    <t>:07</t>
  </si>
  <si>
    <t>:29</t>
  </si>
  <si>
    <t>:42</t>
  </si>
  <si>
    <t>:48</t>
  </si>
  <si>
    <t>:01</t>
  </si>
  <si>
    <t>:02</t>
  </si>
  <si>
    <t>:13</t>
  </si>
  <si>
    <t>:37</t>
  </si>
  <si>
    <t>:38</t>
  </si>
  <si>
    <t>:39</t>
  </si>
  <si>
    <t>:54</t>
  </si>
  <si>
    <t xml:space="preserve">            SUBMIT</t>
  </si>
  <si>
    <t>TO</t>
  </si>
  <si>
    <t>CC</t>
  </si>
  <si>
    <t>SUBJECT</t>
  </si>
  <si>
    <t>BODY</t>
  </si>
  <si>
    <t>ATTACHMENT</t>
  </si>
  <si>
    <t>STATAUS</t>
  </si>
  <si>
    <t>Daily progress report</t>
  </si>
  <si>
    <t>C:\Users\Amit\Downloads\NUMPY.pdf</t>
  </si>
  <si>
    <t>THIS IS MY FRIST EMAIL</t>
  </si>
  <si>
    <t>EMP REPORT PDF</t>
  </si>
  <si>
    <t xml:space="preserve">EMP PHOTO </t>
  </si>
  <si>
    <t>:16</t>
  </si>
  <si>
    <t>:20</t>
  </si>
  <si>
    <t>:25</t>
  </si>
  <si>
    <t>:33</t>
  </si>
  <si>
    <t>:34</t>
  </si>
  <si>
    <t>:35</t>
  </si>
  <si>
    <t>:36</t>
  </si>
  <si>
    <t>:57</t>
  </si>
  <si>
    <t>:58</t>
  </si>
  <si>
    <t>:04</t>
  </si>
  <si>
    <t>:09</t>
  </si>
  <si>
    <t>:18</t>
  </si>
  <si>
    <t>:22</t>
  </si>
  <si>
    <t>:31</t>
  </si>
  <si>
    <t>:44</t>
  </si>
  <si>
    <t>:51</t>
  </si>
  <si>
    <t>:55</t>
  </si>
  <si>
    <t>:15</t>
  </si>
  <si>
    <t>:47</t>
  </si>
  <si>
    <t>:50</t>
  </si>
  <si>
    <t>:56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</si>
</sst>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6" formatCode="&quot;$&quot;#,##0_);[Red]\(&quot;$&quot;#,##0\)"/>
    <numFmt numFmtId="44" formatCode="_(&quot;$&quot;* #,##0.00_);_(&quot;$&quot;* \(#,##0.00\);_(&quot;$&quot;* &quot;-&quot;??_);_(@_)"/>
    <numFmt numFmtId="164" formatCode="h:mm;@"/>
    <numFmt numFmtId="165" formatCode="[$-409]h:mm\ AM/PM;@"/>
    <numFmt numFmtId="166" formatCode="_(&quot;$&quot;* #,##0_);_(&quot;$&quot;* \(#,##0\);_(&quot;$&quot;* &quot;-&quot;??_);_(@_)"/>
  </numFmts>
  <fonts count="21" x14ac:knownFonts="1">
    <font>
      <sz val="11"/>
      <color theme="1"/>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
      <b/>
      <sz val="14"/>
      <color theme="0"/>
      <name val="Aptos Narrow"/>
      <family val="2"/>
      <scheme val="minor"/>
    </font>
    <font>
      <b/>
      <sz val="14"/>
      <color theme="0"/>
      <name val="Arial Rounded MT Bold"/>
      <family val="2"/>
    </font>
    <font>
      <b/>
      <sz val="20"/>
      <color theme="0"/>
      <name val="Arial Rounded MT Bold"/>
      <family val="2"/>
    </font>
    <font>
      <sz val="11"/>
      <color theme="1"/>
      <name val="Aptos Narrow"/>
      <family val="2"/>
      <scheme val="minor"/>
    </font>
    <font>
      <sz val="11"/>
      <color rgb="FF1F1F1F"/>
      <name val="Arial"/>
      <family val="2"/>
    </font>
    <font>
      <b/>
      <sz val="18"/>
      <color theme="1"/>
      <name val="Arial Rounded MT Bold"/>
      <family val="2"/>
    </font>
    <font>
      <b/>
      <sz val="11"/>
      <color theme="0"/>
      <name val="Aptos Narrow"/>
      <family val="2"/>
      <scheme val="minor"/>
    </font>
    <font>
      <u/>
      <sz val="11"/>
      <color theme="10"/>
      <name val="Aptos Narrow"/>
      <family val="2"/>
      <scheme val="minor"/>
    </font>
    <font>
      <b/>
      <sz val="16"/>
      <color theme="1"/>
      <name val="Aptos Narrow"/>
      <family val="2"/>
      <scheme val="minor"/>
    </font>
    <font>
      <b/>
      <sz val="14"/>
      <color theme="1"/>
      <name val="Aptos Narrow"/>
      <family val="2"/>
      <scheme val="minor"/>
    </font>
    <font>
      <b/>
      <sz val="12"/>
      <color theme="1"/>
      <name val="Aptos Narrow"/>
      <family val="2"/>
      <scheme val="minor"/>
    </font>
    <font>
      <b/>
      <sz val="20"/>
      <color theme="1"/>
      <name val="Aptos Narrow"/>
      <family val="2"/>
      <scheme val="minor"/>
    </font>
    <font>
      <sz val="11"/>
      <color theme="1" tint="4.9989318521683403E-2"/>
      <name val="Aptos Narrow"/>
      <family val="2"/>
      <scheme val="minor"/>
    </font>
    <font>
      <b/>
      <sz val="14"/>
      <color theme="1" tint="4.9989318521683403E-2"/>
      <name val="Arial Rounded MT Bold"/>
      <family val="2"/>
    </font>
    <font>
      <b/>
      <sz val="11"/>
      <color rgb="FF002060"/>
      <name val="Aptos Narrow"/>
      <family val="2"/>
      <scheme val="minor"/>
    </font>
    <font>
      <sz val="11"/>
      <color rgb="FF002060"/>
      <name val="Aptos Narrow"/>
      <family val="2"/>
      <scheme val="minor"/>
    </font>
    <font>
      <sz val="11"/>
      <color rgb="FF000000"/>
      <name val="Aptos Narrow"/>
      <family val="2"/>
    </font>
  </fonts>
  <fills count="12">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1" tint="0.14999847407452621"/>
        <bgColor indexed="64"/>
      </patternFill>
    </fill>
    <fill>
      <patternFill patternType="solid">
        <fgColor theme="3" tint="0.749992370372631"/>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FFFF00"/>
        <bgColor indexed="64"/>
      </patternFill>
    </fill>
    <fill>
      <patternFill patternType="solid">
        <fgColor theme="2" tint="-0.499984740745262"/>
        <bgColor indexed="64"/>
      </patternFill>
    </fill>
    <fill>
      <patternFill patternType="solid">
        <fgColor theme="0" tint="-4.9989318521683403E-2"/>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rgb="FF002060"/>
      </left>
      <right style="thin">
        <color rgb="FF002060"/>
      </right>
      <top style="thin">
        <color rgb="FF002060"/>
      </top>
      <bottom style="thin">
        <color rgb="FF002060"/>
      </bottom>
      <diagonal/>
    </border>
    <border>
      <left/>
      <right style="thin">
        <color rgb="FF002060"/>
      </right>
      <top style="thin">
        <color rgb="FF002060"/>
      </top>
      <bottom style="thin">
        <color rgb="FF002060"/>
      </bottom>
      <diagonal/>
    </border>
    <border>
      <left style="thin">
        <color rgb="FF002060"/>
      </left>
      <right/>
      <top style="thin">
        <color rgb="FF002060"/>
      </top>
      <bottom style="thin">
        <color rgb="FF002060"/>
      </bottom>
      <diagonal/>
    </border>
    <border>
      <left/>
      <right style="thin">
        <color rgb="FF002060"/>
      </right>
      <top/>
      <bottom style="thin">
        <color rgb="FF002060"/>
      </bottom>
      <diagonal/>
    </border>
    <border>
      <left style="thin">
        <color rgb="FF002060"/>
      </left>
      <right style="thin">
        <color rgb="FF002060"/>
      </right>
      <top/>
      <bottom style="thin">
        <color rgb="FF002060"/>
      </bottom>
      <diagonal/>
    </border>
    <border>
      <left style="thin">
        <color rgb="FF002060"/>
      </left>
      <right/>
      <top/>
      <bottom style="thin">
        <color rgb="FF002060"/>
      </bottom>
      <diagonal/>
    </border>
    <border>
      <left style="thin">
        <color rgb="FF002060"/>
      </left>
      <right style="thin">
        <color rgb="FF002060"/>
      </right>
      <top style="thin">
        <color rgb="FF002060"/>
      </top>
      <bottom/>
      <diagonal/>
    </border>
    <border>
      <left style="thin">
        <color rgb="FF002060"/>
      </left>
      <right/>
      <top style="thin">
        <color rgb="FF002060"/>
      </top>
      <bottom/>
      <diagonal/>
    </border>
    <border>
      <left style="medium">
        <color rgb="FF002060"/>
      </left>
      <right/>
      <top style="medium">
        <color rgb="FF002060"/>
      </top>
      <bottom/>
      <diagonal/>
    </border>
    <border>
      <left style="thin">
        <color rgb="FF002060"/>
      </left>
      <right style="medium">
        <color rgb="FF002060"/>
      </right>
      <top style="thin">
        <color rgb="FF002060"/>
      </top>
      <bottom style="medium">
        <color rgb="FF00206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2060"/>
      </left>
      <right/>
      <top style="medium">
        <color rgb="FF002060"/>
      </top>
      <bottom/>
      <diagonal/>
    </border>
    <border>
      <left style="thin">
        <color rgb="FF002060"/>
      </left>
      <right style="medium">
        <color rgb="FF002060"/>
      </right>
      <top style="medium">
        <color rgb="FF002060"/>
      </top>
      <bottom/>
      <diagonal/>
    </border>
    <border>
      <left style="medium">
        <color rgb="FF002060"/>
      </left>
      <right/>
      <top style="thin">
        <color rgb="FF002060"/>
      </top>
      <bottom/>
      <diagonal/>
    </border>
    <border>
      <left style="thin">
        <color rgb="FF002060"/>
      </left>
      <right style="medium">
        <color rgb="FF002060"/>
      </right>
      <top style="thin">
        <color rgb="FF002060"/>
      </top>
      <bottom/>
      <diagonal/>
    </border>
    <border>
      <left style="medium">
        <color rgb="FF002060"/>
      </left>
      <right/>
      <top style="thin">
        <color rgb="FF002060"/>
      </top>
      <bottom style="medium">
        <color rgb="FF002060"/>
      </bottom>
      <diagonal/>
    </border>
    <border>
      <left style="thin">
        <color rgb="FF002060"/>
      </left>
      <right/>
      <top style="thin">
        <color rgb="FF002060"/>
      </top>
      <bottom style="medium">
        <color rgb="FF002060"/>
      </bottom>
      <diagonal/>
    </border>
    <border>
      <left style="thick">
        <color rgb="FF002060"/>
      </left>
      <right/>
      <top style="thick">
        <color rgb="FF002060"/>
      </top>
      <bottom/>
      <diagonal/>
    </border>
    <border>
      <left/>
      <right/>
      <top style="thick">
        <color rgb="FF002060"/>
      </top>
      <bottom/>
      <diagonal/>
    </border>
    <border>
      <left/>
      <right style="thick">
        <color rgb="FF002060"/>
      </right>
      <top style="thick">
        <color rgb="FF002060"/>
      </top>
      <bottom/>
      <diagonal/>
    </border>
    <border>
      <left style="thick">
        <color rgb="FF002060"/>
      </left>
      <right/>
      <top/>
      <bottom/>
      <diagonal/>
    </border>
    <border>
      <left/>
      <right style="thick">
        <color rgb="FF002060"/>
      </right>
      <top/>
      <bottom/>
      <diagonal/>
    </border>
    <border>
      <left style="thick">
        <color rgb="FF002060"/>
      </left>
      <right/>
      <top/>
      <bottom style="thick">
        <color rgb="FF002060"/>
      </bottom>
      <diagonal/>
    </border>
    <border>
      <left/>
      <right/>
      <top/>
      <bottom style="thick">
        <color rgb="FF002060"/>
      </bottom>
      <diagonal/>
    </border>
    <border>
      <left/>
      <right style="thick">
        <color rgb="FF002060"/>
      </right>
      <top/>
      <bottom style="thick">
        <color rgb="FF002060"/>
      </bottom>
      <diagonal/>
    </border>
    <border>
      <left style="thin">
        <color indexed="64"/>
      </left>
      <right/>
      <top/>
      <bottom/>
      <diagonal/>
    </border>
    <border>
      <left/>
      <right style="thin">
        <color indexed="64"/>
      </right>
      <top/>
      <bottom/>
      <diagonal/>
    </border>
    <border>
      <left/>
      <right/>
      <top style="thin">
        <color rgb="FF002060"/>
      </top>
      <bottom/>
      <diagonal/>
    </border>
    <border>
      <left/>
      <right style="thin">
        <color rgb="FF002060"/>
      </right>
      <top style="thin">
        <color rgb="FF002060"/>
      </top>
      <bottom/>
      <diagonal/>
    </border>
    <border>
      <left style="thin">
        <color rgb="FF002060"/>
      </left>
      <right/>
      <top/>
      <bottom style="thin">
        <color indexed="64"/>
      </bottom>
      <diagonal/>
    </border>
    <border>
      <left style="thin">
        <color rgb="FF002060"/>
      </left>
      <right/>
      <top/>
      <bottom/>
      <diagonal/>
    </border>
    <border>
      <left/>
      <right style="thin">
        <color rgb="FF002060"/>
      </right>
      <top/>
      <bottom/>
      <diagonal/>
    </border>
    <border>
      <left style="thin">
        <color rgb="FF002060"/>
      </left>
      <right/>
      <top style="thin">
        <color indexed="64"/>
      </top>
      <bottom/>
      <diagonal/>
    </border>
    <border>
      <left/>
      <right style="thin">
        <color rgb="FF002060"/>
      </right>
      <top style="thin">
        <color indexed="64"/>
      </top>
      <bottom/>
      <diagonal/>
    </border>
    <border>
      <left/>
      <right/>
      <top/>
      <bottom style="thin">
        <color rgb="FF002060"/>
      </bottom>
      <diagonal/>
    </border>
    <border>
      <left/>
      <right/>
      <top style="thick">
        <color indexed="64"/>
      </top>
      <bottom/>
      <diagonal/>
    </border>
    <border>
      <left style="thick">
        <color indexed="64"/>
      </left>
      <right/>
      <top style="thick">
        <color indexed="64"/>
      </top>
      <bottom/>
      <diagonal/>
    </border>
    <border>
      <left/>
      <right style="thick">
        <color indexed="64"/>
      </right>
      <top style="thick">
        <color indexed="64"/>
      </top>
      <bottom/>
      <diagonal/>
    </border>
  </borders>
  <cellStyleXfs count="5">
    <xf numFmtId="0" fontId="0" fillId="0" borderId="0"/>
    <xf numFmtId="0" fontId="1" fillId="0" borderId="1" applyNumberFormat="0" applyFont="0" applyFill="0" applyAlignment="0" applyProtection="0">
      <alignment horizontal="center" vertical="center" wrapText="1"/>
    </xf>
    <xf numFmtId="0" fontId="1" fillId="0" borderId="1" applyNumberFormat="0" applyFont="0" applyFill="0" applyAlignment="0" applyProtection="0">
      <alignment horizontal="center" vertical="center" wrapText="1"/>
    </xf>
    <xf numFmtId="44" fontId="7" fillId="0" borderId="0" applyFont="0" applyFill="0" applyBorder="0" applyAlignment="0" applyProtection="0"/>
    <xf numFmtId="0" fontId="11" fillId="0" borderId="0" applyNumberFormat="0" applyFill="0" applyBorder="0" applyAlignment="0" applyProtection="0"/>
  </cellStyleXfs>
  <cellXfs count="136">
    <xf numFmtId="0" fontId="0" fillId="0" borderId="0" xfId="0"/>
    <xf numFmtId="20" fontId="0" fillId="0" borderId="0" xfId="0" applyNumberFormat="1"/>
    <xf numFmtId="0" fontId="0" fillId="0" borderId="0" xfId="0"/>
    <xf numFmtId="0" fontId="2" fillId="2" borderId="2" xfId="0" applyFont="1" applyFill="1" applyBorder="1"/>
    <xf numFmtId="164" fontId="2" fillId="2" borderId="2" xfId="0" applyNumberFormat="1" applyFont="1" applyFill="1" applyBorder="1"/>
    <xf numFmtId="14" fontId="2" fillId="2" borderId="2" xfId="0" applyNumberFormat="1" applyFont="1" applyFill="1" applyBorder="1"/>
    <xf numFmtId="14" fontId="2" fillId="2" borderId="2" xfId="0" applyNumberFormat="1" applyFont="1" applyFill="1" applyBorder="1" applyAlignment="1">
      <alignment vertical="center" wrapText="1"/>
    </xf>
    <xf numFmtId="0" fontId="2" fillId="2" borderId="2" xfId="0" applyFont="1" applyFill="1" applyBorder="1" applyAlignment="1">
      <alignment vertical="center" wrapText="1"/>
    </xf>
    <xf numFmtId="15" fontId="2" fillId="2" borderId="2" xfId="0" applyNumberFormat="1" applyFont="1" applyFill="1" applyBorder="1"/>
    <xf numFmtId="18" fontId="2" fillId="2" borderId="2" xfId="0" applyNumberFormat="1" applyFont="1" applyFill="1" applyBorder="1"/>
    <xf numFmtId="20" fontId="2" fillId="2" borderId="2" xfId="0" applyNumberFormat="1" applyFont="1" applyFill="1" applyBorder="1" applyAlignment="1">
      <alignment vertical="center" wrapText="1"/>
    </xf>
    <xf numFmtId="0" fontId="0" fillId="4" borderId="0" xfId="0" applyFill="1"/>
    <xf numFmtId="0" fontId="5" fillId="4" borderId="0" xfId="0" applyFont="1" applyFill="1" applyAlignment="1">
      <alignment horizontal="left" vertical="top" wrapText="1"/>
    </xf>
    <xf numFmtId="0" fontId="2" fillId="2" borderId="3" xfId="0" applyFont="1" applyFill="1" applyBorder="1"/>
    <xf numFmtId="0" fontId="0" fillId="4" borderId="0" xfId="0" applyFill="1" applyAlignment="1">
      <alignment vertical="center" wrapText="1"/>
    </xf>
    <xf numFmtId="18" fontId="0" fillId="4" borderId="0" xfId="0" applyNumberFormat="1" applyFill="1"/>
    <xf numFmtId="0" fontId="4" fillId="3" borderId="2" xfId="0" applyFont="1" applyFill="1" applyBorder="1"/>
    <xf numFmtId="0" fontId="4" fillId="3" borderId="2" xfId="0" applyFont="1" applyFill="1" applyBorder="1" applyAlignment="1">
      <alignment horizontal="right"/>
    </xf>
    <xf numFmtId="0" fontId="6" fillId="4" borderId="0" xfId="0" applyFont="1" applyFill="1" applyAlignment="1">
      <alignment horizontal="left" vertical="top"/>
    </xf>
    <xf numFmtId="0" fontId="2" fillId="2" borderId="3" xfId="0" applyFont="1" applyFill="1" applyBorder="1" applyAlignment="1">
      <alignment vertical="center" wrapText="1"/>
    </xf>
    <xf numFmtId="0" fontId="2" fillId="2" borderId="4" xfId="0" applyFont="1" applyFill="1" applyBorder="1" applyAlignment="1">
      <alignment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vertical="center" wrapText="1"/>
    </xf>
    <xf numFmtId="15" fontId="2" fillId="2" borderId="8" xfId="0" applyNumberFormat="1" applyFont="1" applyFill="1" applyBorder="1"/>
    <xf numFmtId="0" fontId="2" fillId="2" borderId="8" xfId="0" applyFont="1" applyFill="1" applyBorder="1" applyAlignment="1">
      <alignment vertical="center" wrapText="1"/>
    </xf>
    <xf numFmtId="18" fontId="2" fillId="2" borderId="8" xfId="0" applyNumberFormat="1" applyFont="1" applyFill="1" applyBorder="1"/>
    <xf numFmtId="20" fontId="2" fillId="2" borderId="8" xfId="0" applyNumberFormat="1" applyFont="1" applyFill="1" applyBorder="1" applyAlignment="1">
      <alignment vertical="center" wrapText="1"/>
    </xf>
    <xf numFmtId="0" fontId="2" fillId="2" borderId="9" xfId="0" applyFont="1" applyFill="1" applyBorder="1" applyAlignment="1">
      <alignment vertical="center" wrapText="1"/>
    </xf>
    <xf numFmtId="0" fontId="0" fillId="0" borderId="0" xfId="0" pivotButton="1"/>
    <xf numFmtId="0" fontId="0" fillId="0" borderId="0" xfId="0" applyAlignment="1">
      <alignment horizontal="left"/>
    </xf>
    <xf numFmtId="0" fontId="1" fillId="0" borderId="0" xfId="0" applyFont="1"/>
    <xf numFmtId="0" fontId="1" fillId="0" borderId="0" xfId="0" applyFont="1" applyAlignment="1">
      <alignment horizontal="center"/>
    </xf>
    <xf numFmtId="165" fontId="0" fillId="0" borderId="0" xfId="0" applyNumberFormat="1"/>
    <xf numFmtId="164" fontId="0" fillId="0" borderId="0" xfId="0" applyNumberFormat="1"/>
    <xf numFmtId="164" fontId="2" fillId="2" borderId="2" xfId="0" applyNumberFormat="1" applyFont="1" applyFill="1" applyBorder="1" applyAlignment="1">
      <alignment vertical="center" wrapText="1"/>
    </xf>
    <xf numFmtId="164" fontId="2" fillId="2" borderId="8" xfId="0" applyNumberFormat="1" applyFont="1" applyFill="1" applyBorder="1" applyAlignment="1">
      <alignment vertical="center" wrapText="1"/>
    </xf>
    <xf numFmtId="0" fontId="0" fillId="0" borderId="0" xfId="0" applyNumberFormat="1"/>
    <xf numFmtId="0" fontId="0" fillId="0" borderId="1" xfId="0" applyBorder="1" applyAlignment="1">
      <alignment horizontal="left"/>
    </xf>
    <xf numFmtId="0" fontId="0" fillId="5" borderId="1" xfId="0" applyFill="1" applyBorder="1" applyAlignment="1">
      <alignment horizontal="left"/>
    </xf>
    <xf numFmtId="0" fontId="0" fillId="0" borderId="1" xfId="0" applyBorder="1"/>
    <xf numFmtId="0" fontId="8" fillId="0" borderId="0" xfId="0" applyFont="1"/>
    <xf numFmtId="0" fontId="0" fillId="2" borderId="0" xfId="0" applyFill="1"/>
    <xf numFmtId="0" fontId="4" fillId="3" borderId="10" xfId="0" applyFont="1" applyFill="1" applyBorder="1" applyAlignment="1">
      <alignment horizontal="center" vertical="top"/>
    </xf>
    <xf numFmtId="0" fontId="4" fillId="3" borderId="21" xfId="0" applyFont="1" applyFill="1" applyBorder="1" applyAlignment="1">
      <alignment horizontal="center" vertical="top"/>
    </xf>
    <xf numFmtId="0" fontId="4" fillId="3" borderId="22" xfId="0" applyFont="1" applyFill="1" applyBorder="1" applyAlignment="1">
      <alignment horizontal="center" vertical="top"/>
    </xf>
    <xf numFmtId="0" fontId="2" fillId="2" borderId="23" xfId="0" applyFont="1" applyFill="1" applyBorder="1"/>
    <xf numFmtId="0" fontId="2" fillId="2" borderId="9" xfId="0" applyFont="1" applyFill="1" applyBorder="1"/>
    <xf numFmtId="6" fontId="2" fillId="2" borderId="9" xfId="0" applyNumberFormat="1" applyFont="1" applyFill="1" applyBorder="1"/>
    <xf numFmtId="14" fontId="2" fillId="2" borderId="24" xfId="0" applyNumberFormat="1" applyFont="1" applyFill="1" applyBorder="1"/>
    <xf numFmtId="0" fontId="2" fillId="2" borderId="25" xfId="0" applyFont="1" applyFill="1" applyBorder="1"/>
    <xf numFmtId="0" fontId="2" fillId="2" borderId="26" xfId="0" applyFont="1" applyFill="1" applyBorder="1"/>
    <xf numFmtId="6" fontId="2" fillId="2" borderId="26" xfId="0" applyNumberFormat="1" applyFont="1" applyFill="1" applyBorder="1"/>
    <xf numFmtId="14" fontId="2" fillId="2" borderId="11" xfId="0" applyNumberFormat="1" applyFont="1" applyFill="1" applyBorder="1"/>
    <xf numFmtId="166" fontId="0" fillId="0" borderId="1" xfId="3" applyNumberFormat="1" applyFont="1" applyBorder="1"/>
    <xf numFmtId="0" fontId="0" fillId="0" borderId="1" xfId="0" pivotButton="1" applyBorder="1"/>
    <xf numFmtId="164" fontId="0" fillId="0" borderId="1" xfId="0" applyNumberFormat="1" applyBorder="1"/>
    <xf numFmtId="0" fontId="0" fillId="6" borderId="0" xfId="0" applyFill="1" applyBorder="1"/>
    <xf numFmtId="0" fontId="2" fillId="6" borderId="0" xfId="0" applyFont="1" applyFill="1" applyBorder="1"/>
    <xf numFmtId="0" fontId="0" fillId="6" borderId="0" xfId="0" applyFill="1" applyBorder="1" applyAlignment="1"/>
    <xf numFmtId="0" fontId="0" fillId="7" borderId="0" xfId="0" applyFill="1"/>
    <xf numFmtId="0" fontId="0" fillId="8" borderId="12" xfId="0" applyFill="1" applyBorder="1"/>
    <xf numFmtId="0" fontId="0" fillId="8" borderId="13" xfId="0" applyFill="1" applyBorder="1"/>
    <xf numFmtId="0" fontId="0" fillId="8" borderId="14" xfId="0" applyFill="1" applyBorder="1"/>
    <xf numFmtId="0" fontId="0" fillId="8" borderId="35" xfId="0" applyFill="1" applyBorder="1"/>
    <xf numFmtId="0" fontId="0" fillId="8" borderId="0" xfId="0" applyFill="1" applyBorder="1"/>
    <xf numFmtId="0" fontId="0" fillId="8" borderId="36" xfId="0" applyFill="1" applyBorder="1"/>
    <xf numFmtId="0" fontId="9" fillId="8" borderId="0" xfId="0" applyFont="1" applyFill="1" applyBorder="1"/>
    <xf numFmtId="0" fontId="0" fillId="8" borderId="1" xfId="0" applyFill="1" applyBorder="1"/>
    <xf numFmtId="0" fontId="0" fillId="8" borderId="15" xfId="0" applyFill="1" applyBorder="1"/>
    <xf numFmtId="0" fontId="0" fillId="8" borderId="16" xfId="0" applyFill="1" applyBorder="1"/>
    <xf numFmtId="0" fontId="0" fillId="8" borderId="17" xfId="0" applyFill="1" applyBorder="1"/>
    <xf numFmtId="0" fontId="1" fillId="9" borderId="1" xfId="0" applyFont="1" applyFill="1" applyBorder="1"/>
    <xf numFmtId="0" fontId="10" fillId="6" borderId="0" xfId="0" applyFont="1" applyFill="1" applyBorder="1"/>
    <xf numFmtId="0" fontId="12" fillId="10" borderId="1" xfId="0" applyFont="1" applyFill="1" applyBorder="1" applyAlignment="1">
      <alignment horizontal="center"/>
    </xf>
    <xf numFmtId="0" fontId="12" fillId="10" borderId="1" xfId="0" applyFont="1" applyFill="1" applyBorder="1" applyAlignment="1">
      <alignment horizontal="center" vertical="center"/>
    </xf>
    <xf numFmtId="0" fontId="11" fillId="0" borderId="1" xfId="4" applyBorder="1" applyAlignment="1">
      <alignment horizontal="center" vertical="center"/>
    </xf>
    <xf numFmtId="0" fontId="13" fillId="0" borderId="1" xfId="0" applyFont="1" applyBorder="1" applyAlignment="1">
      <alignment horizontal="center" vertical="center"/>
    </xf>
    <xf numFmtId="0" fontId="1" fillId="0" borderId="1" xfId="0" applyFont="1" applyBorder="1" applyAlignment="1">
      <alignment horizontal="center" vertical="center" wrapText="1"/>
    </xf>
    <xf numFmtId="0" fontId="14" fillId="0" borderId="1" xfId="0" applyFont="1" applyBorder="1" applyAlignment="1">
      <alignment vertical="center"/>
    </xf>
    <xf numFmtId="0" fontId="15" fillId="0" borderId="1" xfId="0" applyFont="1" applyBorder="1" applyAlignment="1">
      <alignment horizontal="center" vertical="center"/>
    </xf>
    <xf numFmtId="0" fontId="16" fillId="4" borderId="0" xfId="0" applyFont="1" applyFill="1" applyBorder="1"/>
    <xf numFmtId="0" fontId="16" fillId="4" borderId="13" xfId="0" applyFont="1" applyFill="1" applyBorder="1"/>
    <xf numFmtId="0" fontId="16" fillId="4" borderId="14" xfId="0" applyFont="1" applyFill="1" applyBorder="1"/>
    <xf numFmtId="0" fontId="17" fillId="4" borderId="0" xfId="0" applyFont="1" applyFill="1" applyBorder="1" applyAlignment="1">
      <alignment vertical="center"/>
    </xf>
    <xf numFmtId="0" fontId="16" fillId="4" borderId="36" xfId="0" applyFont="1" applyFill="1" applyBorder="1"/>
    <xf numFmtId="0" fontId="16" fillId="4" borderId="16" xfId="0" applyFont="1" applyFill="1" applyBorder="1"/>
    <xf numFmtId="0" fontId="16" fillId="4" borderId="17" xfId="0" applyFont="1" applyFill="1" applyBorder="1"/>
    <xf numFmtId="0" fontId="16" fillId="2" borderId="0" xfId="0" applyFont="1" applyFill="1"/>
    <xf numFmtId="0" fontId="16" fillId="2" borderId="0" xfId="0" applyFont="1" applyFill="1" applyBorder="1"/>
    <xf numFmtId="0" fontId="16" fillId="4" borderId="42" xfId="0" applyFont="1" applyFill="1" applyBorder="1"/>
    <xf numFmtId="0" fontId="16" fillId="4" borderId="40" xfId="0" applyFont="1" applyFill="1" applyBorder="1"/>
    <xf numFmtId="0" fontId="16" fillId="4" borderId="39" xfId="0" applyFont="1" applyFill="1" applyBorder="1"/>
    <xf numFmtId="0" fontId="16" fillId="4" borderId="45" xfId="0" applyFont="1" applyFill="1" applyBorder="1"/>
    <xf numFmtId="0" fontId="0" fillId="6" borderId="0" xfId="0" applyFill="1" applyBorder="1" applyAlignment="1">
      <alignment horizontal="center"/>
    </xf>
    <xf numFmtId="0" fontId="0" fillId="6" borderId="27" xfId="0" applyFill="1" applyBorder="1" applyAlignment="1">
      <alignment horizontal="center"/>
    </xf>
    <xf numFmtId="0" fontId="0" fillId="6" borderId="28" xfId="0" applyFill="1" applyBorder="1" applyAlignment="1">
      <alignment horizontal="center"/>
    </xf>
    <xf numFmtId="0" fontId="0" fillId="6" borderId="29" xfId="0" applyFill="1" applyBorder="1" applyAlignment="1">
      <alignment horizontal="center"/>
    </xf>
    <xf numFmtId="0" fontId="0" fillId="6" borderId="30" xfId="0" applyFill="1" applyBorder="1" applyAlignment="1">
      <alignment horizontal="center"/>
    </xf>
    <xf numFmtId="0" fontId="0" fillId="6" borderId="31" xfId="0" applyFill="1" applyBorder="1" applyAlignment="1">
      <alignment horizontal="center"/>
    </xf>
    <xf numFmtId="0" fontId="0" fillId="6" borderId="32" xfId="0" applyFill="1" applyBorder="1" applyAlignment="1">
      <alignment horizontal="center"/>
    </xf>
    <xf numFmtId="0" fontId="0" fillId="6" borderId="33" xfId="0" applyFill="1" applyBorder="1" applyAlignment="1">
      <alignment horizontal="center"/>
    </xf>
    <xf numFmtId="0" fontId="0" fillId="6" borderId="34" xfId="0" applyFill="1" applyBorder="1" applyAlignment="1">
      <alignment horizontal="center"/>
    </xf>
    <xf numFmtId="0" fontId="0" fillId="2" borderId="0" xfId="0" applyFill="1"/>
    <xf numFmtId="0" fontId="16" fillId="2" borderId="9" xfId="0" applyFont="1" applyFill="1" applyBorder="1" applyAlignment="1">
      <alignment horizontal="center"/>
    </xf>
    <xf numFmtId="0" fontId="16" fillId="2" borderId="37" xfId="0" applyFont="1" applyFill="1" applyBorder="1" applyAlignment="1">
      <alignment horizontal="center"/>
    </xf>
    <xf numFmtId="0" fontId="16" fillId="2" borderId="38" xfId="0" applyFont="1" applyFill="1" applyBorder="1" applyAlignment="1">
      <alignment horizontal="center"/>
    </xf>
    <xf numFmtId="0" fontId="16" fillId="2" borderId="40" xfId="0" applyFont="1" applyFill="1" applyBorder="1" applyAlignment="1">
      <alignment horizontal="center"/>
    </xf>
    <xf numFmtId="0" fontId="16" fillId="2" borderId="0" xfId="0" applyFont="1" applyFill="1" applyBorder="1" applyAlignment="1">
      <alignment horizontal="center"/>
    </xf>
    <xf numFmtId="0" fontId="16" fillId="2" borderId="41" xfId="0" applyFont="1" applyFill="1" applyBorder="1" applyAlignment="1">
      <alignment horizontal="center"/>
    </xf>
    <xf numFmtId="0" fontId="18" fillId="11" borderId="42" xfId="0" applyFont="1" applyFill="1" applyBorder="1" applyAlignment="1">
      <alignment horizontal="center" vertical="center"/>
    </xf>
    <xf numFmtId="0" fontId="19" fillId="11" borderId="13" xfId="0" applyFont="1" applyFill="1" applyBorder="1" applyAlignment="1">
      <alignment horizontal="center" vertical="center"/>
    </xf>
    <xf numFmtId="0" fontId="19" fillId="11" borderId="43" xfId="0" applyFont="1" applyFill="1" applyBorder="1" applyAlignment="1">
      <alignment horizontal="center" vertical="center"/>
    </xf>
    <xf numFmtId="0" fontId="19" fillId="11" borderId="7" xfId="0" applyFont="1" applyFill="1" applyBorder="1" applyAlignment="1">
      <alignment horizontal="center" vertical="center"/>
    </xf>
    <xf numFmtId="0" fontId="19" fillId="11" borderId="44" xfId="0" applyFont="1" applyFill="1" applyBorder="1" applyAlignment="1">
      <alignment horizontal="center" vertical="center"/>
    </xf>
    <xf numFmtId="0" fontId="19" fillId="11" borderId="5" xfId="0" applyFont="1" applyFill="1" applyBorder="1" applyAlignment="1">
      <alignment horizontal="center" vertical="center"/>
    </xf>
    <xf numFmtId="0" fontId="4" fillId="3" borderId="46"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7" xfId="0" applyFont="1" applyFill="1" applyBorder="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center"/>
    </xf>
    <xf numFmtId="0" fontId="1" fillId="0" borderId="0" xfId="0" applyFont="1" applyAlignment="1">
      <alignment horizontal="center"/>
    </xf>
    <xf numFmtId="0" fontId="9" fillId="6" borderId="12" xfId="0" applyFont="1" applyFill="1" applyBorder="1" applyAlignment="1">
      <alignment horizontal="center" vertical="center"/>
    </xf>
    <xf numFmtId="0" fontId="9" fillId="6" borderId="13" xfId="0" applyFont="1" applyFill="1" applyBorder="1" applyAlignment="1">
      <alignment horizontal="center" vertical="center"/>
    </xf>
    <xf numFmtId="0" fontId="9" fillId="6" borderId="14" xfId="0" applyFont="1" applyFill="1" applyBorder="1" applyAlignment="1">
      <alignment horizontal="center" vertical="center"/>
    </xf>
    <xf numFmtId="0" fontId="9" fillId="6" borderId="15"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cellXfs>
  <cellStyles count="5">
    <cellStyle name="Currency" xfId="3" builtinId="4"/>
    <cellStyle name="Hyperlink" xfId="4" builtinId="8"/>
    <cellStyle name="Normal" xfId="0" builtinId="0"/>
    <cellStyle name="Style 1" xfId="1" xr:uid="{F466E976-891E-4B0A-8C51-E7A48A1ADEBB}"/>
    <cellStyle name="Style 2" xfId="2" xr:uid="{8F06DF13-4690-4A86-A99A-FBF70E8F7243}"/>
  </cellStyles>
  <dxfs count="86">
    <dxf>
      <numFmt numFmtId="164" formatCode="h:mm;@"/>
    </dxf>
    <dxf>
      <numFmt numFmtId="164" formatCode="h:mm;@"/>
    </dxf>
    <dxf>
      <numFmt numFmtId="164" formatCode="h:mm;@"/>
    </dxf>
    <dxf>
      <numFmt numFmtId="164" formatCode="h:mm;@"/>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h:mm;@"/>
    </dxf>
    <dxf>
      <numFmt numFmtId="164" formatCode="h:mm;@"/>
    </dxf>
    <dxf>
      <numFmt numFmtId="164" formatCode="h:mm;@"/>
    </dxf>
    <dxf>
      <numFmt numFmtId="164" formatCode="h:mm;@"/>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h:mm;@"/>
    </dxf>
    <dxf>
      <numFmt numFmtId="164" formatCode="h:mm;@"/>
    </dxf>
    <dxf>
      <numFmt numFmtId="164" formatCode="h:mm;@"/>
    </dxf>
    <dxf>
      <numFmt numFmtId="164" formatCode="h:mm;@"/>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h:mm;@"/>
    </dxf>
    <dxf>
      <numFmt numFmtId="164" formatCode="h:mm;@"/>
    </dxf>
    <dxf>
      <numFmt numFmtId="164" formatCode="h:mm;@"/>
    </dxf>
    <dxf>
      <numFmt numFmtId="164" formatCode="h:mm;@"/>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h:mm;@"/>
    </dxf>
    <dxf>
      <numFmt numFmtId="164" formatCode="h:mm;@"/>
    </dxf>
    <dxf>
      <numFmt numFmtId="164" formatCode="h:mm;@"/>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h:mm;@"/>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alignment horizontal="general" vertical="center" textRotation="0" wrapText="1" indent="0" justifyLastLine="0" shrinkToFit="0" readingOrder="0"/>
      <border diagonalUp="0" diagonalDown="0">
        <left style="thin">
          <color rgb="FF002060"/>
        </left>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numFmt numFmtId="164" formatCode="h:mm;@"/>
      <fill>
        <patternFill patternType="solid">
          <fgColor indexed="64"/>
          <bgColor theme="1"/>
        </patternFill>
      </fill>
      <alignment horizontal="general" vertical="center" textRotation="0" wrapText="1" indent="0" justifyLastLine="0" shrinkToFit="0" readingOrder="0"/>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numFmt numFmtId="25" formatCode="h:mm"/>
      <fill>
        <patternFill patternType="solid">
          <fgColor indexed="64"/>
          <bgColor theme="1"/>
        </patternFill>
      </fill>
      <alignment horizontal="general" vertical="center" textRotation="0" wrapText="1" indent="0" justifyLastLine="0" shrinkToFit="0" readingOrder="0"/>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numFmt numFmtId="25" formatCode="h:mm"/>
      <fill>
        <patternFill patternType="solid">
          <fgColor indexed="64"/>
          <bgColor theme="1"/>
        </patternFill>
      </fill>
      <alignment horizontal="general" vertical="center" textRotation="0" wrapText="1" indent="0" justifyLastLine="0" shrinkToFit="0" readingOrder="0"/>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numFmt numFmtId="23" formatCode="h:mm\ AM/PM"/>
      <fill>
        <patternFill patternType="solid">
          <fgColor indexed="64"/>
          <bgColor theme="1"/>
        </patternFill>
      </fill>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numFmt numFmtId="23" formatCode="h:mm\ AM/PM"/>
      <fill>
        <patternFill patternType="solid">
          <fgColor indexed="64"/>
          <bgColor theme="1"/>
        </patternFill>
      </fill>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alignment horizontal="general" vertical="center" textRotation="0" wrapText="1" indent="0" justifyLastLine="0" shrinkToFit="0" readingOrder="0"/>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numFmt numFmtId="20" formatCode="dd/mmm/yy"/>
      <fill>
        <patternFill patternType="solid">
          <fgColor indexed="64"/>
          <bgColor theme="1"/>
        </patternFill>
      </fill>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border diagonalUp="0" diagonalDown="0">
        <left/>
        <right style="thin">
          <color rgb="FF002060"/>
        </right>
        <top style="thin">
          <color rgb="FF002060"/>
        </top>
        <bottom style="thin">
          <color rgb="FF002060"/>
        </bottom>
        <vertical/>
        <horizontal/>
      </border>
    </dxf>
    <dxf>
      <border outline="0">
        <top style="thin">
          <color rgb="FF002060"/>
        </top>
      </border>
    </dxf>
    <dxf>
      <border outline="0">
        <left style="medium">
          <color rgb="FF002060"/>
        </left>
        <right style="medium">
          <color rgb="FF002060"/>
        </right>
        <top style="medium">
          <color rgb="FF002060"/>
        </top>
        <bottom style="medium">
          <color rgb="FF002060"/>
        </bottom>
      </border>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alignment horizontal="general" vertical="center" textRotation="0" wrapText="1" indent="0" justifyLastLine="0" shrinkToFit="0" readingOrder="0"/>
    </dxf>
    <dxf>
      <border outline="0">
        <bottom style="thin">
          <color rgb="FF002060"/>
        </bottom>
      </border>
    </dxf>
    <dxf>
      <font>
        <b/>
        <i val="0"/>
        <strike val="0"/>
        <condense val="0"/>
        <extend val="0"/>
        <outline val="0"/>
        <shadow val="0"/>
        <u val="none"/>
        <vertAlign val="baseline"/>
        <sz val="14"/>
        <color theme="0"/>
        <name val="Aptos Narrow"/>
        <family val="2"/>
        <scheme val="minor"/>
      </font>
      <fill>
        <patternFill patternType="solid">
          <fgColor indexed="64"/>
          <bgColor theme="1" tint="0.34998626667073579"/>
        </patternFill>
      </fill>
      <alignment horizontal="center" vertical="center" textRotation="0" wrapText="1" indent="0" justifyLastLine="0" shrinkToFit="0" readingOrder="0"/>
      <border diagonalUp="0" diagonalDown="0" outline="0">
        <left style="thin">
          <color rgb="FF002060"/>
        </left>
        <right style="thin">
          <color rgb="FF002060"/>
        </right>
        <top/>
        <bottom/>
      </border>
    </dxf>
    <dxf>
      <font>
        <b/>
        <sz val="11"/>
        <color theme="1"/>
      </font>
    </dxf>
    <dxf>
      <fill>
        <patternFill patternType="solid">
          <fgColor theme="0"/>
          <bgColor theme="2" tint="-0.89996032593768116"/>
        </patternFill>
      </fill>
      <border>
        <left style="thin">
          <color theme="1" tint="-0.499984740745262"/>
        </left>
        <right style="thin">
          <color theme="1" tint="-0.499984740745262"/>
        </right>
        <top style="thin">
          <color theme="1" tint="-0.499984740745262"/>
        </top>
        <bottom style="thin">
          <color theme="1" tint="-0.499984740745262"/>
        </bottom>
      </border>
    </dxf>
    <dxf>
      <font>
        <color theme="0"/>
      </font>
      <fill>
        <patternFill>
          <bgColor theme="1" tint="4.9989318521683403E-2"/>
        </patternFill>
      </fill>
      <border>
        <left style="thick">
          <color auto="1"/>
        </left>
        <right style="thick">
          <color auto="1"/>
        </right>
        <top style="thick">
          <color auto="1"/>
        </top>
        <bottom style="thick">
          <color auto="1"/>
        </bottom>
        <vertical/>
      </border>
    </dxf>
    <dxf>
      <font>
        <color theme="0"/>
      </font>
      <fill>
        <patternFill patternType="none">
          <fgColor indexed="64"/>
          <bgColor auto="1"/>
        </patternFill>
      </fill>
      <border>
        <left style="medium">
          <color theme="1" tint="0.24994659260841701"/>
        </left>
        <right style="medium">
          <color theme="1" tint="0.24994659260841701"/>
        </right>
        <top style="medium">
          <color theme="1" tint="0.24994659260841701"/>
        </top>
        <bottom style="medium">
          <color theme="1" tint="0.24994659260841701"/>
        </bottom>
        <horizontal style="medium">
          <color theme="1" tint="0.24994659260841701"/>
        </horizontal>
      </border>
    </dxf>
    <dxf>
      <font>
        <color theme="2"/>
      </font>
      <border>
        <left style="medium">
          <color theme="1" tint="0.24994659260841701"/>
        </left>
        <right style="medium">
          <color theme="1" tint="0.24994659260841701"/>
        </right>
        <top style="medium">
          <color theme="1" tint="0.24994659260841701"/>
        </top>
        <bottom style="medium">
          <color theme="1" tint="0.24994659260841701"/>
        </bottom>
      </border>
    </dxf>
    <dxf>
      <fill>
        <patternFill>
          <bgColor theme="1" tint="4.9989318521683403E-2"/>
        </patternFill>
      </fill>
    </dxf>
    <dxf>
      <fill>
        <patternFill>
          <bgColor theme="1" tint="4.9989318521683403E-2"/>
        </patternFill>
      </fill>
    </dxf>
  </dxfs>
  <tableStyles count="6" defaultTableStyle="TableStyleMedium2" defaultPivotStyle="PivotStyleLight16">
    <tableStyle name="Slicer Style 1" pivot="0" table="0" count="1" xr9:uid="{328567D4-89D8-4E2B-ABFE-FA6D8E4757C2}">
      <tableStyleElement type="wholeTable" dxfId="85"/>
    </tableStyle>
    <tableStyle name="Slicer Style 2" pivot="0" table="0" count="1" xr9:uid="{F791FED3-3883-4D8D-BBD2-1D8C3683872C}">
      <tableStyleElement type="wholeTable" dxfId="84"/>
    </tableStyle>
    <tableStyle name="Slicer Style 3" pivot="0" table="0" count="1" xr9:uid="{471E6410-E5C9-44BE-AD0C-19F165F4AAB8}">
      <tableStyleElement type="wholeTable" dxfId="83"/>
    </tableStyle>
    <tableStyle name="Slicer Style 4" pivot="0" table="0" count="1" xr9:uid="{CDD96277-0A59-4EA5-8510-2A9D2D0DD267}">
      <tableStyleElement type="wholeTable" dxfId="82"/>
    </tableStyle>
    <tableStyle name="Slicer Style 5" pivot="0" table="0" count="1" xr9:uid="{5CC99192-AD7E-4E0F-8DCF-67AEA3F51421}">
      <tableStyleElement type="wholeTable" dxfId="81"/>
    </tableStyle>
    <tableStyle name="Timeline Style 1" pivot="0" table="0" count="8" xr9:uid="{0781B3CC-613B-4AF8-8BC7-4233B135156F}">
      <tableStyleElement type="wholeTable" dxfId="80"/>
      <tableStyleElement type="headerRow" dxfId="79"/>
    </tableStyle>
  </tableStyles>
  <colors>
    <mruColors>
      <color rgb="FFABF24C"/>
      <color rgb="FF74B230"/>
      <color rgb="FF032B1D"/>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 Style 4"/>
        <x14:slicerStyle name="Slicer Style 5"/>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[DASHBORD.xlsm]PIVIOT TABLE!PivotTable4</c:name>
    <c:fmtId val="3"/>
  </c:pivotSource>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27149109795033"/>
          <c:y val="0.179951516477107"/>
          <c:w val="0.78626753908795111"/>
          <c:h val="0.53811424613589964"/>
        </c:manualLayout>
      </c:layout>
      <c:lineChart>
        <c:grouping val="standard"/>
        <c:varyColors val="0"/>
        <c:ser>
          <c:idx val="0"/>
          <c:order val="0"/>
          <c:tx>
            <c:strRef>
              <c:f>'PIVIOT TABLE'!$AR$8</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'PIVIOT TABLE'!$AQ$9:$AQ$13</c:f>
              <c:strCache>
                <c:ptCount val="5"/>
                <c:pt idx="0">
                  <c:v>Jan</c:v>
                </c:pt>
                <c:pt idx="1">
                  <c:v>Feb</c:v>
                </c:pt>
                <c:pt idx="2">
                  <c:v>Mar</c:v>
                </c:pt>
                <c:pt idx="3">
                  <c:v>Apr</c:v>
                </c:pt>
                <c:pt idx="4">
                  <c:v>May</c:v>
                </c:pt>
              </c:strCache>
            </c:strRef>
          </c:cat>
          <c:val>
            <c:numRef>
              <c:f>'PIVIOT TABLE'!$AR$9:$AR$13</c:f>
              <c:numCache>
                <c:formatCode>h:mm;@</c:formatCode>
                <c:ptCount val="5"/>
                <c:pt idx="0">
                  <c:v>9.0756944444444443</c:v>
                </c:pt>
                <c:pt idx="1">
                  <c:v>10.694444444444445</c:v>
                </c:pt>
                <c:pt idx="2">
                  <c:v>12.568055555555553</c:v>
                </c:pt>
                <c:pt idx="3">
                  <c:v>11.792361111111111</c:v>
                </c:pt>
                <c:pt idx="4">
                  <c:v>9.7902777777777779</c:v>
                </c:pt>
              </c:numCache>
            </c:numRef>
          </c:val>
          <c:smooth val="0"/>
          <c:extLst>
            <c:ext xmlns:c16="http://schemas.microsoft.com/office/drawing/2014/chart" uri="{C3380CC4-5D6E-409C-BE32-E72D297353CC}">
              <c16:uniqueId val="{00000000-A3A4-4A2F-A9FE-5A987313C78E}"/>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71302671"/>
        <c:axId val="971294031"/>
      </c:lineChart>
      <c:catAx>
        <c:axId val="971302671"/>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71294031"/>
        <c:crosses val="autoZero"/>
        <c:auto val="1"/>
        <c:lblAlgn val="ctr"/>
        <c:lblOffset val="100"/>
        <c:noMultiLvlLbl val="0"/>
      </c:catAx>
      <c:valAx>
        <c:axId val="971294031"/>
        <c:scaling>
          <c:orientation val="minMax"/>
        </c:scaling>
        <c:delete val="1"/>
        <c:axPos val="l"/>
        <c:numFmt formatCode="h:mm;@" sourceLinked="1"/>
        <c:majorTickMark val="out"/>
        <c:minorTickMark val="none"/>
        <c:tickLblPos val="nextTo"/>
        <c:crossAx val="971302671"/>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[DASHBORD.xlsm]PIVIOT TABLE!PivotTable4</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125752714499922E-2"/>
          <c:y val="0.450221172961562"/>
          <c:w val="0.85500137454116298"/>
          <c:h val="0.41266738910661005"/>
        </c:manualLayout>
      </c:layout>
      <c:lineChart>
        <c:grouping val="standard"/>
        <c:varyColors val="0"/>
        <c:ser>
          <c:idx val="0"/>
          <c:order val="0"/>
          <c:tx>
            <c:strRef>
              <c:f>'PIVIOT TABLE'!$AR$8</c:f>
              <c:strCache>
                <c:ptCount val="1"/>
                <c:pt idx="0">
                  <c:v>Total</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'PIVIOT TABLE'!$AQ$9:$AQ$13</c:f>
              <c:strCache>
                <c:ptCount val="5"/>
                <c:pt idx="0">
                  <c:v>Jan</c:v>
                </c:pt>
                <c:pt idx="1">
                  <c:v>Feb</c:v>
                </c:pt>
                <c:pt idx="2">
                  <c:v>Mar</c:v>
                </c:pt>
                <c:pt idx="3">
                  <c:v>Apr</c:v>
                </c:pt>
                <c:pt idx="4">
                  <c:v>May</c:v>
                </c:pt>
              </c:strCache>
            </c:strRef>
          </c:cat>
          <c:val>
            <c:numRef>
              <c:f>'PIVIOT TABLE'!$AR$9:$AR$13</c:f>
              <c:numCache>
                <c:formatCode>h:mm;@</c:formatCode>
                <c:ptCount val="5"/>
                <c:pt idx="0">
                  <c:v>9.0756944444444443</c:v>
                </c:pt>
                <c:pt idx="1">
                  <c:v>10.694444444444445</c:v>
                </c:pt>
                <c:pt idx="2">
                  <c:v>12.568055555555553</c:v>
                </c:pt>
                <c:pt idx="3">
                  <c:v>11.792361111111111</c:v>
                </c:pt>
                <c:pt idx="4">
                  <c:v>9.7902777777777779</c:v>
                </c:pt>
              </c:numCache>
            </c:numRef>
          </c:val>
          <c:smooth val="0"/>
          <c:extLst>
            <c:ext xmlns:c16="http://schemas.microsoft.com/office/drawing/2014/chart" uri="{C3380CC4-5D6E-409C-BE32-E72D297353CC}">
              <c16:uniqueId val="{00000000-8A73-4CAD-8DEC-4F941A6074CF}"/>
            </c:ext>
          </c:extLst>
        </c:ser>
        <c:dLbls>
          <c:dLblPos val="t"/>
          <c:showLegendKey val="0"/>
          <c:showVal val="1"/>
          <c:showCatName val="0"/>
          <c:showSerName val="0"/>
          <c:showPercent val="0"/>
          <c:showBubbleSize val="0"/>
        </c:dLbls>
        <c:marker val="1"/>
        <c:smooth val="0"/>
        <c:axId val="971302671"/>
        <c:axId val="971294031"/>
      </c:lineChart>
      <c:catAx>
        <c:axId val="971302671"/>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lt1">
                    <a:lumMod val="75000"/>
                  </a:schemeClr>
                </a:solidFill>
                <a:latin typeface="+mn-lt"/>
                <a:ea typeface="+mn-ea"/>
                <a:cs typeface="+mn-cs"/>
              </a:defRPr>
            </a:pPr>
            <a:endParaRPr lang="en-US"/>
          </a:p>
        </c:txPr>
        <c:crossAx val="971294031"/>
        <c:crosses val="autoZero"/>
        <c:auto val="1"/>
        <c:lblAlgn val="ctr"/>
        <c:lblOffset val="100"/>
        <c:noMultiLvlLbl val="0"/>
      </c:catAx>
      <c:valAx>
        <c:axId val="971294031"/>
        <c:scaling>
          <c:orientation val="minMax"/>
        </c:scaling>
        <c:delete val="1"/>
        <c:axPos val="l"/>
        <c:numFmt formatCode="h:mm;@" sourceLinked="1"/>
        <c:majorTickMark val="out"/>
        <c:minorTickMark val="none"/>
        <c:tickLblPos val="nextTo"/>
        <c:crossAx val="971302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4583333333333332"/>
          <c:y val="0.12268518518518519"/>
          <c:w val="0.46388888888888891"/>
          <c:h val="0.77314814814814814"/>
        </c:manualLayout>
      </c:layout>
      <c:doughnutChart>
        <c:varyColors val="1"/>
        <c:ser>
          <c:idx val="0"/>
          <c:order val="0"/>
          <c:spPr>
            <a:effectLst/>
          </c:spPr>
          <c:dPt>
            <c:idx val="0"/>
            <c:bubble3D val="0"/>
            <c:spPr>
              <a:solidFill>
                <a:schemeClr val="accent2">
                  <a:shade val="76000"/>
                </a:schemeClr>
              </a:solidFill>
              <a:ln w="19050">
                <a:solidFill>
                  <a:schemeClr val="lt1"/>
                </a:solidFill>
              </a:ln>
              <a:effectLst/>
            </c:spPr>
            <c:extLst>
              <c:ext xmlns:c16="http://schemas.microsoft.com/office/drawing/2014/chart" uri="{C3380CC4-5D6E-409C-BE32-E72D297353CC}">
                <c16:uniqueId val="{00000001-264D-4862-A712-E38284C10A9B}"/>
              </c:ext>
            </c:extLst>
          </c:dPt>
          <c:dPt>
            <c:idx val="1"/>
            <c:bubble3D val="0"/>
            <c:spPr>
              <a:solidFill>
                <a:schemeClr val="accent2">
                  <a:tint val="77000"/>
                </a:schemeClr>
              </a:solidFill>
              <a:ln w="19050">
                <a:solidFill>
                  <a:schemeClr val="lt1"/>
                </a:solidFill>
              </a:ln>
              <a:effectLst/>
            </c:spPr>
            <c:extLst>
              <c:ext xmlns:c16="http://schemas.microsoft.com/office/drawing/2014/chart" uri="{C3380CC4-5D6E-409C-BE32-E72D297353CC}">
                <c16:uniqueId val="{00000003-264D-4862-A712-E38284C10A9B}"/>
              </c:ext>
            </c:extLst>
          </c:dPt>
          <c:dLbls>
            <c:delete val="1"/>
          </c:dLbls>
          <c:val>
            <c:numRef>
              <c:f>('PIVIOT TABLE'!$G$5,'PIVIOT TABLE'!$J$5)</c:f>
              <c:numCache>
                <c:formatCode>General</c:formatCode>
                <c:ptCount val="2"/>
                <c:pt idx="0">
                  <c:v>20</c:v>
                </c:pt>
                <c:pt idx="1">
                  <c:v>84</c:v>
                </c:pt>
              </c:numCache>
            </c:numRef>
          </c:val>
          <c:extLst>
            <c:ext xmlns:c16="http://schemas.microsoft.com/office/drawing/2014/chart" uri="{C3380CC4-5D6E-409C-BE32-E72D297353CC}">
              <c16:uniqueId val="{00000004-264D-4862-A712-E38284C10A9B}"/>
            </c:ext>
          </c:extLst>
        </c:ser>
        <c:dLbls>
          <c:showLegendKey val="0"/>
          <c:showVal val="1"/>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[DASHBORD.xlsm]PIVIOT TABLE!PivotTable4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'PIVIOT TABLE'!$AR$8</c:f>
              <c:strCache>
                <c:ptCount val="1"/>
                <c:pt idx="0">
                  <c:v>Total</c:v>
                </c:pt>
              </c:strCache>
            </c:strRef>
          </c:tx>
          <c:spPr>
            <a:ln w="28575" cap="rnd">
              <a:solidFill>
                <a:schemeClr val="accent1"/>
              </a:solidFill>
              <a:round/>
            </a:ln>
            <a:effectLst/>
          </c:spPr>
          <c:marker>
            <c:symbol val="none"/>
          </c:marker>
          <c:cat>
            <c:strRef>
              <c:f>'PIVIOT TABLE'!$AQ$9:$AQ$13</c:f>
              <c:strCache>
                <c:ptCount val="5"/>
                <c:pt idx="0">
                  <c:v>Jan</c:v>
                </c:pt>
                <c:pt idx="1">
                  <c:v>Feb</c:v>
                </c:pt>
                <c:pt idx="2">
                  <c:v>Mar</c:v>
                </c:pt>
                <c:pt idx="3">
                  <c:v>Apr</c:v>
                </c:pt>
                <c:pt idx="4">
                  <c:v>May</c:v>
                </c:pt>
              </c:strCache>
            </c:strRef>
          </c:cat>
          <c:val>
            <c:numRef>
              <c:f>'PIVIOT TABLE'!$AR$9:$AR$13</c:f>
              <c:numCache>
                <c:formatCode>h:mm;@</c:formatCode>
                <c:ptCount val="5"/>
                <c:pt idx="0">
                  <c:v>9.0756944444444443</c:v>
                </c:pt>
                <c:pt idx="1">
                  <c:v>10.694444444444445</c:v>
                </c:pt>
                <c:pt idx="2">
                  <c:v>12.568055555555553</c:v>
                </c:pt>
                <c:pt idx="3">
                  <c:v>11.792361111111111</c:v>
                </c:pt>
                <c:pt idx="4">
                  <c:v>9.7902777777777779</c:v>
                </c:pt>
              </c:numCache>
            </c:numRef>
          </c:val>
          <c:smooth val="0"/>
          <c:extLst>
            <c:ext xmlns:c16="http://schemas.microsoft.com/office/drawing/2014/chart" uri="{C3380CC4-5D6E-409C-BE32-E72D297353CC}">
              <c16:uniqueId val="{00000000-BA68-43B1-81AC-28285F3D5E5C}"/>
            </c:ext>
          </c:extLst>
        </c:ser>
        <c:dLbls>
          <c:showLegendKey val="0"/>
          <c:showVal val="0"/>
          <c:showCatName val="0"/>
          <c:showSerName val="0"/>
          <c:showPercent val="0"/>
          <c:showBubbleSize val="0"/>
        </c:dLbls>
        <c:smooth val="0"/>
        <c:axId val="971302671"/>
        <c:axId val="971294031"/>
      </c:lineChart>
      <c:catAx>
        <c:axId val="971302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294031"/>
        <c:crosses val="autoZero"/>
        <c:auto val="1"/>
        <c:lblAlgn val="ctr"/>
        <c:lblOffset val="100"/>
        <c:noMultiLvlLbl val="0"/>
      </c:catAx>
      <c:valAx>
        <c:axId val="971294031"/>
        <c:scaling>
          <c:orientation val="minMax"/>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30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DASHBORDS!A1"/></Relationships>
</file>

<file path=xl/drawings/_rels/drawing2.xml.rels><?xml version="1.0" encoding="UTF-8" standalone="yes"?>
<Relationships xmlns="http://schemas.openxmlformats.org/package/2006/relationships"><Relationship Id="rId1" Type="http://schemas.openxmlformats.org/officeDocument/2006/relationships/hyperlink" Target="#DASHBORDS!A1"/></Relationships>
</file>

<file path=xl/drawings/_rels/drawing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15.svg"/><Relationship Id="rId18" Type="http://schemas.openxmlformats.org/officeDocument/2006/relationships/image" Target="../media/image18.png"/><Relationship Id="rId3" Type="http://schemas.openxmlformats.org/officeDocument/2006/relationships/image" Target="../media/image7.png"/><Relationship Id="rId7" Type="http://schemas.openxmlformats.org/officeDocument/2006/relationships/image" Target="../media/image10.svg"/><Relationship Id="rId12" Type="http://schemas.openxmlformats.org/officeDocument/2006/relationships/image" Target="../media/image14.svg"/><Relationship Id="rId17" Type="http://schemas.openxmlformats.org/officeDocument/2006/relationships/image" Target="../media/image17.svg"/><Relationship Id="rId2" Type="http://schemas.openxmlformats.org/officeDocument/2006/relationships/hyperlink" Target="#'TIME SHEET'!A1"/><Relationship Id="rId16" Type="http://schemas.openxmlformats.org/officeDocument/2006/relationships/image" Target="../media/image16.png"/><Relationship Id="rId1" Type="http://schemas.openxmlformats.org/officeDocument/2006/relationships/chart" Target="../charts/chart1.xml"/><Relationship Id="rId6" Type="http://schemas.openxmlformats.org/officeDocument/2006/relationships/image" Target="../media/image9.png"/><Relationship Id="rId11" Type="http://schemas.openxmlformats.org/officeDocument/2006/relationships/image" Target="../media/image13.png"/><Relationship Id="rId5" Type="http://schemas.openxmlformats.org/officeDocument/2006/relationships/hyperlink" Target="#EMP_INFORMATION!A1"/><Relationship Id="rId15" Type="http://schemas.openxmlformats.org/officeDocument/2006/relationships/hyperlink" Target="https://mail.google.com/mail/u/0/#inbox?compose=new" TargetMode="External"/><Relationship Id="rId10" Type="http://schemas.openxmlformats.org/officeDocument/2006/relationships/image" Target="../media/image12.svg"/><Relationship Id="rId19" Type="http://schemas.openxmlformats.org/officeDocument/2006/relationships/image" Target="../media/image19.svg"/><Relationship Id="rId4" Type="http://schemas.openxmlformats.org/officeDocument/2006/relationships/image" Target="../media/image8.svg"/><Relationship Id="rId9" Type="http://schemas.openxmlformats.org/officeDocument/2006/relationships/image" Target="../media/image11.png"/><Relationship Id="rId1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hyperlink" Target="#DASHBORDS!A1"/></Relationships>
</file>

<file path=xl/drawings/_rels/drawing6.xml.rels><?xml version="1.0" encoding="UTF-8" standalone="yes"?>
<Relationships xmlns="http://schemas.openxmlformats.org/package/2006/relationships"><Relationship Id="rId1" Type="http://schemas.openxmlformats.org/officeDocument/2006/relationships/hyperlink" Target="#DASHBORDS!A1"/></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361950</xdr:colOff>
      <xdr:row>5</xdr:row>
      <xdr:rowOff>133350</xdr:rowOff>
    </xdr:from>
    <xdr:to>
      <xdr:col>2</xdr:col>
      <xdr:colOff>704850</xdr:colOff>
      <xdr:row>7</xdr:row>
      <xdr:rowOff>142875</xdr:rowOff>
    </xdr:to>
    <xdr:grpSp>
      <xdr:nvGrpSpPr>
        <xdr:cNvPr id="4" name="Group 3">
          <a:hlinkClick xmlns:r="http://schemas.openxmlformats.org/officeDocument/2006/relationships" r:id="rId1"/>
          <a:extLst>
            <a:ext uri="{FF2B5EF4-FFF2-40B4-BE49-F238E27FC236}">
              <a16:creationId xmlns:a16="http://schemas.microsoft.com/office/drawing/2014/main" id="{BA8CD4D4-F102-B3D8-8E49-E4C16085C067}"/>
            </a:ext>
          </a:extLst>
        </xdr:cNvPr>
        <xdr:cNvGrpSpPr/>
      </xdr:nvGrpSpPr>
      <xdr:grpSpPr>
        <a:xfrm>
          <a:off x="361950" y="1357993"/>
          <a:ext cx="1458686" cy="390525"/>
          <a:chOff x="1971675" y="457200"/>
          <a:chExt cx="1447800" cy="390525"/>
        </a:xfrm>
      </xdr:grpSpPr>
      <xdr:sp macro="" textlink="">
        <xdr:nvSpPr>
          <xdr:cNvPr id="2" name="Rectangle: Rounded Corners 1">
            <a:extLst>
              <a:ext uri="{FF2B5EF4-FFF2-40B4-BE49-F238E27FC236}">
                <a16:creationId xmlns:a16="http://schemas.microsoft.com/office/drawing/2014/main" id="{980535A3-5625-8C6B-BB7E-61398E4E9F1F}"/>
              </a:ext>
            </a:extLst>
          </xdr:cNvPr>
          <xdr:cNvSpPr/>
        </xdr:nvSpPr>
        <xdr:spPr>
          <a:xfrm>
            <a:off x="1971675" y="457200"/>
            <a:ext cx="1447800" cy="390525"/>
          </a:xfrm>
          <a:prstGeom prst="roundRect">
            <a:avLst/>
          </a:prstGeom>
          <a:solidFill>
            <a:schemeClr val="tx1">
              <a:lumMod val="95000"/>
              <a:lumOff val="5000"/>
            </a:schemeClr>
          </a:solidFill>
          <a:ln>
            <a:solidFill>
              <a:schemeClr val="tx2">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16E505EB-0B72-D8CA-8F80-BE59B7DA78A0}"/>
              </a:ext>
            </a:extLst>
          </xdr:cNvPr>
          <xdr:cNvSpPr txBox="1"/>
        </xdr:nvSpPr>
        <xdr:spPr>
          <a:xfrm>
            <a:off x="2238375" y="523875"/>
            <a:ext cx="8667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DASHBORD</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304800</xdr:colOff>
      <xdr:row>0</xdr:row>
      <xdr:rowOff>161925</xdr:rowOff>
    </xdr:from>
    <xdr:to>
      <xdr:col>2</xdr:col>
      <xdr:colOff>247650</xdr:colOff>
      <xdr:row>2</xdr:row>
      <xdr:rowOff>169209</xdr:rowOff>
    </xdr:to>
    <xdr:grpSp>
      <xdr:nvGrpSpPr>
        <xdr:cNvPr id="4" name="Group 3">
          <a:hlinkClick xmlns:r="http://schemas.openxmlformats.org/officeDocument/2006/relationships" r:id="rId1"/>
          <a:extLst>
            <a:ext uri="{FF2B5EF4-FFF2-40B4-BE49-F238E27FC236}">
              <a16:creationId xmlns:a16="http://schemas.microsoft.com/office/drawing/2014/main" id="{216B5974-8640-47F5-BCF2-309F359CB9AE}"/>
            </a:ext>
          </a:extLst>
        </xdr:cNvPr>
        <xdr:cNvGrpSpPr/>
      </xdr:nvGrpSpPr>
      <xdr:grpSpPr>
        <a:xfrm>
          <a:off x="304800" y="161925"/>
          <a:ext cx="1447800" cy="388284"/>
          <a:chOff x="1971675" y="457200"/>
          <a:chExt cx="1447800" cy="390525"/>
        </a:xfrm>
      </xdr:grpSpPr>
      <xdr:sp macro="" textlink="">
        <xdr:nvSpPr>
          <xdr:cNvPr id="5" name="Rectangle: Rounded Corners 4">
            <a:extLst>
              <a:ext uri="{FF2B5EF4-FFF2-40B4-BE49-F238E27FC236}">
                <a16:creationId xmlns:a16="http://schemas.microsoft.com/office/drawing/2014/main" id="{854E42AC-F467-A1C7-9479-D7A4D25CD5C7}"/>
              </a:ext>
            </a:extLst>
          </xdr:cNvPr>
          <xdr:cNvSpPr/>
        </xdr:nvSpPr>
        <xdr:spPr>
          <a:xfrm>
            <a:off x="1971675" y="457200"/>
            <a:ext cx="1447800" cy="390525"/>
          </a:xfrm>
          <a:prstGeom prst="roundRect">
            <a:avLst/>
          </a:prstGeom>
          <a:solidFill>
            <a:schemeClr val="tx1">
              <a:lumMod val="95000"/>
              <a:lumOff val="5000"/>
            </a:schemeClr>
          </a:solidFill>
          <a:ln>
            <a:solidFill>
              <a:schemeClr val="tx2">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a:extLst>
              <a:ext uri="{FF2B5EF4-FFF2-40B4-BE49-F238E27FC236}">
                <a16:creationId xmlns:a16="http://schemas.microsoft.com/office/drawing/2014/main" id="{5E977B16-89EF-885E-0D85-DD1C9DF58764}"/>
              </a:ext>
            </a:extLst>
          </xdr:cNvPr>
          <xdr:cNvSpPr txBox="1"/>
        </xdr:nvSpPr>
        <xdr:spPr>
          <a:xfrm>
            <a:off x="2238375" y="523875"/>
            <a:ext cx="8667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DASHBORD</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44</xdr:col>
      <xdr:colOff>127907</xdr:colOff>
      <xdr:row>17</xdr:row>
      <xdr:rowOff>19050</xdr:rowOff>
    </xdr:from>
    <xdr:to>
      <xdr:col>46</xdr:col>
      <xdr:colOff>251732</xdr:colOff>
      <xdr:row>20</xdr:row>
      <xdr:rowOff>152401</xdr:rowOff>
    </xdr:to>
    <xdr:grpSp>
      <xdr:nvGrpSpPr>
        <xdr:cNvPr id="8" name="Group 7">
          <a:extLst>
            <a:ext uri="{FF2B5EF4-FFF2-40B4-BE49-F238E27FC236}">
              <a16:creationId xmlns:a16="http://schemas.microsoft.com/office/drawing/2014/main" id="{60BCD9DD-C068-4F33-A9BB-EFE164A4DB4B}"/>
            </a:ext>
          </a:extLst>
        </xdr:cNvPr>
        <xdr:cNvGrpSpPr/>
      </xdr:nvGrpSpPr>
      <xdr:grpSpPr>
        <a:xfrm>
          <a:off x="27206121" y="3257550"/>
          <a:ext cx="1348468" cy="704851"/>
          <a:chOff x="3790950" y="381000"/>
          <a:chExt cx="1343025" cy="704851"/>
        </a:xfrm>
      </xdr:grpSpPr>
      <xdr:sp macro="" textlink="'PIVIOT TABLE'!S3">
        <xdr:nvSpPr>
          <xdr:cNvPr id="9" name="TextBox 8">
            <a:extLst>
              <a:ext uri="{FF2B5EF4-FFF2-40B4-BE49-F238E27FC236}">
                <a16:creationId xmlns:a16="http://schemas.microsoft.com/office/drawing/2014/main" id="{542D60BE-53B0-9629-BF2B-A617C182E915}"/>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3CE733-E754-4C84-8274-845FAB9BB756}" type="TxLink">
              <a:rPr lang="en-US" sz="1100" b="1" i="0" u="none" strike="noStrike">
                <a:solidFill>
                  <a:srgbClr val="000000"/>
                </a:solidFill>
                <a:latin typeface="Aptos Narrow"/>
              </a:rPr>
              <a:pPr algn="ctr"/>
              <a:t>Late Attendenced</a:t>
            </a:fld>
            <a:endParaRPr lang="en-US" sz="1100" b="1"/>
          </a:p>
        </xdr:txBody>
      </xdr:sp>
      <xdr:sp macro="" textlink="'PIVIOT TABLE'!S4">
        <xdr:nvSpPr>
          <xdr:cNvPr id="10" name="TextBox 9">
            <a:extLst>
              <a:ext uri="{FF2B5EF4-FFF2-40B4-BE49-F238E27FC236}">
                <a16:creationId xmlns:a16="http://schemas.microsoft.com/office/drawing/2014/main" id="{B0F3CE4B-A71B-F83B-010B-1A7B3E92D34A}"/>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1F7359-3B37-4E9E-BDE1-04BE26E7729A}" type="TxLink">
              <a:rPr lang="en-US" sz="1100" b="0" i="0" u="none" strike="noStrike">
                <a:solidFill>
                  <a:srgbClr val="000000"/>
                </a:solidFill>
                <a:latin typeface="Aptos Narrow"/>
              </a:rPr>
              <a:pPr algn="ctr"/>
              <a:t>17:21</a:t>
            </a:fld>
            <a:endParaRPr lang="en-US" sz="1100"/>
          </a:p>
        </xdr:txBody>
      </xdr:sp>
    </xdr:grpSp>
    <xdr:clientData/>
  </xdr:twoCellAnchor>
  <xdr:twoCellAnchor>
    <xdr:from>
      <xdr:col>41</xdr:col>
      <xdr:colOff>299357</xdr:colOff>
      <xdr:row>17</xdr:row>
      <xdr:rowOff>38100</xdr:rowOff>
    </xdr:from>
    <xdr:to>
      <xdr:col>43</xdr:col>
      <xdr:colOff>435428</xdr:colOff>
      <xdr:row>20</xdr:row>
      <xdr:rowOff>152401</xdr:rowOff>
    </xdr:to>
    <xdr:grpSp>
      <xdr:nvGrpSpPr>
        <xdr:cNvPr id="14" name="Group 13">
          <a:extLst>
            <a:ext uri="{FF2B5EF4-FFF2-40B4-BE49-F238E27FC236}">
              <a16:creationId xmlns:a16="http://schemas.microsoft.com/office/drawing/2014/main" id="{A98D8546-977A-44FD-9E2F-FB6EE5B8F3F0}"/>
            </a:ext>
          </a:extLst>
        </xdr:cNvPr>
        <xdr:cNvGrpSpPr/>
      </xdr:nvGrpSpPr>
      <xdr:grpSpPr>
        <a:xfrm>
          <a:off x="25540607" y="3276600"/>
          <a:ext cx="1360714" cy="685801"/>
          <a:chOff x="3781425" y="381000"/>
          <a:chExt cx="1352550" cy="685801"/>
        </a:xfrm>
      </xdr:grpSpPr>
      <xdr:sp macro="" textlink="'PIVIOT TABLE'!N3">
        <xdr:nvSpPr>
          <xdr:cNvPr id="15" name="TextBox 14">
            <a:extLst>
              <a:ext uri="{FF2B5EF4-FFF2-40B4-BE49-F238E27FC236}">
                <a16:creationId xmlns:a16="http://schemas.microsoft.com/office/drawing/2014/main" id="{9DD866F3-C303-C5CF-B6CA-CDCB97204117}"/>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D29170-4F13-4570-9240-D79D18745460}" type="TxLink">
              <a:rPr lang="en-US" sz="1100" b="1" i="0" u="none" strike="noStrike">
                <a:solidFill>
                  <a:srgbClr val="000000"/>
                </a:solidFill>
                <a:latin typeface="Aptos Narrow"/>
              </a:rPr>
              <a:pPr algn="ctr"/>
              <a:t>Working Hour</a:t>
            </a:fld>
            <a:endParaRPr lang="en-US" sz="1100"/>
          </a:p>
        </xdr:txBody>
      </xdr:sp>
      <xdr:sp macro="" textlink="'PIVIOT TABLE'!N4">
        <xdr:nvSpPr>
          <xdr:cNvPr id="16" name="TextBox 15">
            <a:extLst>
              <a:ext uri="{FF2B5EF4-FFF2-40B4-BE49-F238E27FC236}">
                <a16:creationId xmlns:a16="http://schemas.microsoft.com/office/drawing/2014/main" id="{58BE9952-5B44-3F19-4E82-65F77012A999}"/>
              </a:ext>
            </a:extLst>
          </xdr:cNvPr>
          <xdr:cNvSpPr txBox="1"/>
        </xdr:nvSpPr>
        <xdr:spPr>
          <a:xfrm>
            <a:off x="3781425" y="78105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7B63CB-6A29-4BD1-AB09-7DB47A55B214}" type="TxLink">
              <a:rPr lang="en-US" sz="1100" b="0" i="0" u="none" strike="noStrike">
                <a:solidFill>
                  <a:srgbClr val="000000"/>
                </a:solidFill>
                <a:latin typeface="Aptos Narrow"/>
              </a:rPr>
              <a:pPr algn="ctr"/>
              <a:t>22:06</a:t>
            </a:fld>
            <a:endParaRPr lang="en-US" sz="1100"/>
          </a:p>
        </xdr:txBody>
      </xdr:sp>
    </xdr:grpSp>
    <xdr:clientData/>
  </xdr:twoCellAnchor>
  <xdr:twoCellAnchor>
    <xdr:from>
      <xdr:col>49</xdr:col>
      <xdr:colOff>204108</xdr:colOff>
      <xdr:row>16</xdr:row>
      <xdr:rowOff>171450</xdr:rowOff>
    </xdr:from>
    <xdr:to>
      <xdr:col>51</xdr:col>
      <xdr:colOff>327932</xdr:colOff>
      <xdr:row>20</xdr:row>
      <xdr:rowOff>114301</xdr:rowOff>
    </xdr:to>
    <xdr:grpSp>
      <xdr:nvGrpSpPr>
        <xdr:cNvPr id="20" name="Group 19">
          <a:extLst>
            <a:ext uri="{FF2B5EF4-FFF2-40B4-BE49-F238E27FC236}">
              <a16:creationId xmlns:a16="http://schemas.microsoft.com/office/drawing/2014/main" id="{8E2D7A77-8C29-43A5-AA7D-DE043F646741}"/>
            </a:ext>
          </a:extLst>
        </xdr:cNvPr>
        <xdr:cNvGrpSpPr/>
      </xdr:nvGrpSpPr>
      <xdr:grpSpPr>
        <a:xfrm>
          <a:off x="30343929" y="3219450"/>
          <a:ext cx="1348467" cy="704851"/>
          <a:chOff x="3790950" y="381000"/>
          <a:chExt cx="1343025" cy="704851"/>
        </a:xfrm>
      </xdr:grpSpPr>
      <xdr:sp macro="" textlink="'PIVIOT TABLE'!X10">
        <xdr:nvSpPr>
          <xdr:cNvPr id="21" name="TextBox 20">
            <a:extLst>
              <a:ext uri="{FF2B5EF4-FFF2-40B4-BE49-F238E27FC236}">
                <a16:creationId xmlns:a16="http://schemas.microsoft.com/office/drawing/2014/main" id="{1B0D84E1-5E38-1263-DFB6-38F1EC84C9E3}"/>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F40997-CFF5-4C5E-AAC6-1F2357C82BF5}" type="TxLink">
              <a:rPr lang="en-US" sz="1100" b="0" i="0" u="none" strike="noStrike">
                <a:solidFill>
                  <a:srgbClr val="000000"/>
                </a:solidFill>
                <a:latin typeface="Aptos Narrow"/>
              </a:rPr>
              <a:pPr algn="ctr"/>
              <a:t>DAY OFF</a:t>
            </a:fld>
            <a:endParaRPr lang="en-US" sz="1100" b="1"/>
          </a:p>
        </xdr:txBody>
      </xdr:sp>
      <xdr:sp macro="" textlink="'PIVIOT TABLE'!Y10">
        <xdr:nvSpPr>
          <xdr:cNvPr id="22" name="TextBox 21">
            <a:extLst>
              <a:ext uri="{FF2B5EF4-FFF2-40B4-BE49-F238E27FC236}">
                <a16:creationId xmlns:a16="http://schemas.microsoft.com/office/drawing/2014/main" id="{7F652474-E9D0-58D3-BB41-D9C496EB2CEC}"/>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9787A1-6482-4C4A-8E27-03790CDDB288}" type="TxLink">
              <a:rPr lang="en-US" sz="1100" b="0" i="0" u="none" strike="noStrike">
                <a:solidFill>
                  <a:srgbClr val="000000"/>
                </a:solidFill>
                <a:latin typeface="Aptos Narrow"/>
              </a:rPr>
              <a:pPr algn="ctr"/>
              <a:t>43</a:t>
            </a:fld>
            <a:endParaRPr lang="en-US" sz="1100"/>
          </a:p>
        </xdr:txBody>
      </xdr:sp>
    </xdr:grpSp>
    <xdr:clientData/>
  </xdr:twoCellAnchor>
  <xdr:twoCellAnchor>
    <xdr:from>
      <xdr:col>38</xdr:col>
      <xdr:colOff>111331</xdr:colOff>
      <xdr:row>21</xdr:row>
      <xdr:rowOff>80479</xdr:rowOff>
    </xdr:from>
    <xdr:to>
      <xdr:col>40</xdr:col>
      <xdr:colOff>236448</xdr:colOff>
      <xdr:row>25</xdr:row>
      <xdr:rowOff>23330</xdr:rowOff>
    </xdr:to>
    <xdr:grpSp>
      <xdr:nvGrpSpPr>
        <xdr:cNvPr id="33" name="Group 32">
          <a:extLst>
            <a:ext uri="{FF2B5EF4-FFF2-40B4-BE49-F238E27FC236}">
              <a16:creationId xmlns:a16="http://schemas.microsoft.com/office/drawing/2014/main" id="{50B72BB7-F50B-4332-9551-1248350CE94C}"/>
            </a:ext>
          </a:extLst>
        </xdr:cNvPr>
        <xdr:cNvGrpSpPr/>
      </xdr:nvGrpSpPr>
      <xdr:grpSpPr>
        <a:xfrm>
          <a:off x="23515617" y="4080979"/>
          <a:ext cx="1349760" cy="704851"/>
          <a:chOff x="3790950" y="381000"/>
          <a:chExt cx="1343025" cy="704851"/>
        </a:xfrm>
      </xdr:grpSpPr>
      <xdr:sp macro="" textlink="'PIVIOT TABLE'!AU11">
        <xdr:nvSpPr>
          <xdr:cNvPr id="34" name="TextBox 33">
            <a:extLst>
              <a:ext uri="{FF2B5EF4-FFF2-40B4-BE49-F238E27FC236}">
                <a16:creationId xmlns:a16="http://schemas.microsoft.com/office/drawing/2014/main" id="{240B8E5C-AADB-6A76-7BE2-B59C42E67ECC}"/>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296CB5-0F59-418D-9524-5D00E8E40554}" type="TxLink">
              <a:rPr lang="en-US" sz="1100" b="0" i="0" u="none" strike="noStrike">
                <a:solidFill>
                  <a:srgbClr val="000000"/>
                </a:solidFill>
                <a:latin typeface="Aptos Narrow"/>
              </a:rPr>
              <a:pPr algn="ctr"/>
              <a:t>Name</a:t>
            </a:fld>
            <a:endParaRPr lang="en-US" sz="1100" b="1"/>
          </a:p>
        </xdr:txBody>
      </xdr:sp>
      <xdr:sp macro="" textlink="'PIVIOT TABLE'!AV11">
        <xdr:nvSpPr>
          <xdr:cNvPr id="35" name="TextBox 34">
            <a:extLst>
              <a:ext uri="{FF2B5EF4-FFF2-40B4-BE49-F238E27FC236}">
                <a16:creationId xmlns:a16="http://schemas.microsoft.com/office/drawing/2014/main" id="{3A7585CB-E54F-8392-94F2-392658E94C10}"/>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D08084-52F9-42A4-85D3-FFA705503665}" type="TxLink">
              <a:rPr lang="en-US" sz="1100" b="0" i="0" u="none" strike="noStrike">
                <a:solidFill>
                  <a:srgbClr val="000000"/>
                </a:solidFill>
                <a:latin typeface="Aptos Narrow"/>
              </a:rPr>
              <a:pPr algn="ctr"/>
              <a:t>Ali Charle</a:t>
            </a:fld>
            <a:endParaRPr lang="en-US" sz="1100"/>
          </a:p>
        </xdr:txBody>
      </xdr:sp>
    </xdr:grpSp>
    <xdr:clientData/>
  </xdr:twoCellAnchor>
  <xdr:twoCellAnchor>
    <xdr:from>
      <xdr:col>40</xdr:col>
      <xdr:colOff>503044</xdr:colOff>
      <xdr:row>21</xdr:row>
      <xdr:rowOff>53585</xdr:rowOff>
    </xdr:from>
    <xdr:to>
      <xdr:col>43</xdr:col>
      <xdr:colOff>16869</xdr:colOff>
      <xdr:row>24</xdr:row>
      <xdr:rowOff>186936</xdr:rowOff>
    </xdr:to>
    <xdr:grpSp>
      <xdr:nvGrpSpPr>
        <xdr:cNvPr id="36" name="Group 35">
          <a:extLst>
            <a:ext uri="{FF2B5EF4-FFF2-40B4-BE49-F238E27FC236}">
              <a16:creationId xmlns:a16="http://schemas.microsoft.com/office/drawing/2014/main" id="{97B54798-F46C-472A-BC7E-6448B7310122}"/>
            </a:ext>
          </a:extLst>
        </xdr:cNvPr>
        <xdr:cNvGrpSpPr/>
      </xdr:nvGrpSpPr>
      <xdr:grpSpPr>
        <a:xfrm>
          <a:off x="25131973" y="4054085"/>
          <a:ext cx="1350789" cy="704851"/>
          <a:chOff x="3790950" y="381000"/>
          <a:chExt cx="1343025" cy="704851"/>
        </a:xfrm>
      </xdr:grpSpPr>
      <xdr:sp macro="" textlink="'PIVIOT TABLE'!AU12">
        <xdr:nvSpPr>
          <xdr:cNvPr id="37" name="TextBox 36">
            <a:extLst>
              <a:ext uri="{FF2B5EF4-FFF2-40B4-BE49-F238E27FC236}">
                <a16:creationId xmlns:a16="http://schemas.microsoft.com/office/drawing/2014/main" id="{24C73F5D-5E0F-BC63-89D7-7EED1DD04968}"/>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051EBE-59D2-4401-A1AF-4FBD96DD522B}" type="TxLink">
              <a:rPr lang="en-US" sz="1100" b="0" i="0" u="none" strike="noStrike">
                <a:solidFill>
                  <a:srgbClr val="000000"/>
                </a:solidFill>
                <a:latin typeface="Aptos Narrow"/>
              </a:rPr>
              <a:pPr algn="ctr"/>
              <a:t>ID Number</a:t>
            </a:fld>
            <a:endParaRPr lang="en-US" sz="1100" b="1"/>
          </a:p>
        </xdr:txBody>
      </xdr:sp>
      <xdr:sp macro="" textlink="'PIVIOT TABLE'!AV12">
        <xdr:nvSpPr>
          <xdr:cNvPr id="38" name="TextBox 37">
            <a:extLst>
              <a:ext uri="{FF2B5EF4-FFF2-40B4-BE49-F238E27FC236}">
                <a16:creationId xmlns:a16="http://schemas.microsoft.com/office/drawing/2014/main" id="{EEA215B9-8BF1-DE16-43D4-E8AFF468A666}"/>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999C9E0-C1AC-40CF-8298-EE1A7D1528BE}" type="TxLink">
              <a:rPr lang="en-US" sz="1100" b="0" i="0" u="none" strike="noStrike">
                <a:solidFill>
                  <a:srgbClr val="000000"/>
                </a:solidFill>
                <a:latin typeface="Aptos Narrow"/>
              </a:rPr>
              <a:pPr algn="ctr"/>
              <a:t>652-20589</a:t>
            </a:fld>
            <a:endParaRPr lang="en-US" sz="1100"/>
          </a:p>
        </xdr:txBody>
      </xdr:sp>
    </xdr:grpSp>
    <xdr:clientData/>
  </xdr:twoCellAnchor>
  <xdr:twoCellAnchor>
    <xdr:from>
      <xdr:col>43</xdr:col>
      <xdr:colOff>170260</xdr:colOff>
      <xdr:row>21</xdr:row>
      <xdr:rowOff>37896</xdr:rowOff>
    </xdr:from>
    <xdr:to>
      <xdr:col>45</xdr:col>
      <xdr:colOff>295376</xdr:colOff>
      <xdr:row>24</xdr:row>
      <xdr:rowOff>171247</xdr:rowOff>
    </xdr:to>
    <xdr:grpSp>
      <xdr:nvGrpSpPr>
        <xdr:cNvPr id="39" name="Group 38">
          <a:extLst>
            <a:ext uri="{FF2B5EF4-FFF2-40B4-BE49-F238E27FC236}">
              <a16:creationId xmlns:a16="http://schemas.microsoft.com/office/drawing/2014/main" id="{FF0C74D2-0F7B-492C-8A08-245E19748B9F}"/>
            </a:ext>
          </a:extLst>
        </xdr:cNvPr>
        <xdr:cNvGrpSpPr/>
      </xdr:nvGrpSpPr>
      <xdr:grpSpPr>
        <a:xfrm>
          <a:off x="26636153" y="4038396"/>
          <a:ext cx="1349759" cy="704851"/>
          <a:chOff x="3790950" y="381000"/>
          <a:chExt cx="1343025" cy="704851"/>
        </a:xfrm>
      </xdr:grpSpPr>
      <xdr:sp macro="" textlink="'PIVIOT TABLE'!AU13">
        <xdr:nvSpPr>
          <xdr:cNvPr id="40" name="TextBox 39">
            <a:extLst>
              <a:ext uri="{FF2B5EF4-FFF2-40B4-BE49-F238E27FC236}">
                <a16:creationId xmlns:a16="http://schemas.microsoft.com/office/drawing/2014/main" id="{0820FB66-20ED-DC2F-C4D5-6450C63C46B9}"/>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69BFA3B-52E0-41F6-AB03-40A50791CA76}" type="TxLink">
              <a:rPr lang="en-US" sz="1100" b="0" i="0" u="none" strike="noStrike">
                <a:solidFill>
                  <a:srgbClr val="000000"/>
                </a:solidFill>
                <a:latin typeface="Aptos Narrow"/>
              </a:rPr>
              <a:pPr algn="ctr"/>
              <a:t>Sector</a:t>
            </a:fld>
            <a:endParaRPr lang="en-US" sz="1100" b="1"/>
          </a:p>
        </xdr:txBody>
      </xdr:sp>
      <xdr:sp macro="" textlink="'PIVIOT TABLE'!AV13">
        <xdr:nvSpPr>
          <xdr:cNvPr id="41" name="TextBox 40">
            <a:extLst>
              <a:ext uri="{FF2B5EF4-FFF2-40B4-BE49-F238E27FC236}">
                <a16:creationId xmlns:a16="http://schemas.microsoft.com/office/drawing/2014/main" id="{438C3EF4-EE24-D367-DAFB-096D5160CA6C}"/>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F30660-5224-44DE-BA0A-C7541D3C351D}" type="TxLink">
              <a:rPr lang="en-US" sz="1100" b="0" i="0" u="none" strike="noStrike">
                <a:solidFill>
                  <a:srgbClr val="000000"/>
                </a:solidFill>
                <a:latin typeface="Aptos Narrow"/>
              </a:rPr>
              <a:pPr algn="ctr"/>
              <a:t>Real Estate</a:t>
            </a:fld>
            <a:endParaRPr lang="en-US" sz="1100"/>
          </a:p>
        </xdr:txBody>
      </xdr:sp>
    </xdr:grpSp>
    <xdr:clientData/>
  </xdr:twoCellAnchor>
  <xdr:twoCellAnchor>
    <xdr:from>
      <xdr:col>53</xdr:col>
      <xdr:colOff>52654</xdr:colOff>
      <xdr:row>20</xdr:row>
      <xdr:rowOff>134267</xdr:rowOff>
    </xdr:from>
    <xdr:to>
      <xdr:col>55</xdr:col>
      <xdr:colOff>177770</xdr:colOff>
      <xdr:row>24</xdr:row>
      <xdr:rowOff>77118</xdr:rowOff>
    </xdr:to>
    <xdr:grpSp>
      <xdr:nvGrpSpPr>
        <xdr:cNvPr id="42" name="Group 41">
          <a:extLst>
            <a:ext uri="{FF2B5EF4-FFF2-40B4-BE49-F238E27FC236}">
              <a16:creationId xmlns:a16="http://schemas.microsoft.com/office/drawing/2014/main" id="{AE4D3A51-ACBF-451B-8360-C703424BC83A}"/>
            </a:ext>
          </a:extLst>
        </xdr:cNvPr>
        <xdr:cNvGrpSpPr/>
      </xdr:nvGrpSpPr>
      <xdr:grpSpPr>
        <a:xfrm>
          <a:off x="32641761" y="3944267"/>
          <a:ext cx="1349759" cy="704851"/>
          <a:chOff x="3790950" y="381000"/>
          <a:chExt cx="1343025" cy="704851"/>
        </a:xfrm>
      </xdr:grpSpPr>
      <xdr:sp macro="" textlink="'PIVIOT TABLE'!AU18">
        <xdr:nvSpPr>
          <xdr:cNvPr id="43" name="TextBox 42">
            <a:extLst>
              <a:ext uri="{FF2B5EF4-FFF2-40B4-BE49-F238E27FC236}">
                <a16:creationId xmlns:a16="http://schemas.microsoft.com/office/drawing/2014/main" id="{959EB3E9-299B-0A55-3D6D-2B63E36806A0}"/>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09CB18-B95E-4399-9BFE-5E2D0687A1A9}" type="TxLink">
              <a:rPr lang="en-US" sz="1100" b="0" i="0" u="none" strike="noStrike">
                <a:solidFill>
                  <a:srgbClr val="000000"/>
                </a:solidFill>
                <a:latin typeface="Aptos Narrow"/>
              </a:rPr>
              <a:pPr algn="ctr"/>
              <a:t>Manager Name</a:t>
            </a:fld>
            <a:endParaRPr lang="en-US" sz="1100" b="1"/>
          </a:p>
        </xdr:txBody>
      </xdr:sp>
      <xdr:sp macro="" textlink="'PIVIOT TABLE'!AV18">
        <xdr:nvSpPr>
          <xdr:cNvPr id="44" name="TextBox 43">
            <a:extLst>
              <a:ext uri="{FF2B5EF4-FFF2-40B4-BE49-F238E27FC236}">
                <a16:creationId xmlns:a16="http://schemas.microsoft.com/office/drawing/2014/main" id="{49255EF7-B56A-E0E3-E3E2-A3B1A0C68BF9}"/>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DAAD485-60ED-49FC-B958-0A0B2ABCC722}" type="TxLink">
              <a:rPr lang="en-US" sz="1100" b="0" i="0" u="none" strike="noStrike">
                <a:solidFill>
                  <a:srgbClr val="000000"/>
                </a:solidFill>
                <a:latin typeface="Aptos Narrow"/>
              </a:rPr>
              <a:pPr algn="ctr"/>
              <a:t>Ali Charle</a:t>
            </a:fld>
            <a:endParaRPr lang="en-US" sz="1100"/>
          </a:p>
        </xdr:txBody>
      </xdr:sp>
    </xdr:grpSp>
    <xdr:clientData/>
  </xdr:twoCellAnchor>
  <xdr:twoCellAnchor>
    <xdr:from>
      <xdr:col>48</xdr:col>
      <xdr:colOff>93345</xdr:colOff>
      <xdr:row>21</xdr:row>
      <xdr:rowOff>6520</xdr:rowOff>
    </xdr:from>
    <xdr:to>
      <xdr:col>50</xdr:col>
      <xdr:colOff>218461</xdr:colOff>
      <xdr:row>24</xdr:row>
      <xdr:rowOff>139871</xdr:rowOff>
    </xdr:to>
    <xdr:grpSp>
      <xdr:nvGrpSpPr>
        <xdr:cNvPr id="45" name="Group 44">
          <a:extLst>
            <a:ext uri="{FF2B5EF4-FFF2-40B4-BE49-F238E27FC236}">
              <a16:creationId xmlns:a16="http://schemas.microsoft.com/office/drawing/2014/main" id="{BD245BAF-43DA-4ABE-B025-31D3641DD412}"/>
            </a:ext>
          </a:extLst>
        </xdr:cNvPr>
        <xdr:cNvGrpSpPr/>
      </xdr:nvGrpSpPr>
      <xdr:grpSpPr>
        <a:xfrm>
          <a:off x="29620845" y="4007020"/>
          <a:ext cx="1349759" cy="704851"/>
          <a:chOff x="3790950" y="381000"/>
          <a:chExt cx="1343025" cy="704851"/>
        </a:xfrm>
      </xdr:grpSpPr>
      <xdr:sp macro="" textlink="'PIVIOT TABLE'!AU16">
        <xdr:nvSpPr>
          <xdr:cNvPr id="46" name="TextBox 45">
            <a:extLst>
              <a:ext uri="{FF2B5EF4-FFF2-40B4-BE49-F238E27FC236}">
                <a16:creationId xmlns:a16="http://schemas.microsoft.com/office/drawing/2014/main" id="{B0C778F0-0B12-4DD9-78C0-712E59464A0C}"/>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1C2F34-2A16-42A7-A738-43D2BB197528}" type="TxLink">
              <a:rPr lang="en-US" sz="1100" b="0" i="0" u="none" strike="noStrike">
                <a:solidFill>
                  <a:srgbClr val="000000"/>
                </a:solidFill>
                <a:latin typeface="Aptos Narrow"/>
              </a:rPr>
              <a:pPr algn="ctr"/>
              <a:t>Department</a:t>
            </a:fld>
            <a:endParaRPr lang="en-US" sz="1100" b="1"/>
          </a:p>
        </xdr:txBody>
      </xdr:sp>
      <xdr:sp macro="" textlink="'PIVIOT TABLE'!AV16">
        <xdr:nvSpPr>
          <xdr:cNvPr id="47" name="TextBox 46">
            <a:extLst>
              <a:ext uri="{FF2B5EF4-FFF2-40B4-BE49-F238E27FC236}">
                <a16:creationId xmlns:a16="http://schemas.microsoft.com/office/drawing/2014/main" id="{F45DC29E-997B-8833-6D07-62801234B0AC}"/>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CDDC2C-2220-4083-B8D9-025D1D494778}" type="TxLink">
              <a:rPr lang="en-US" sz="1100" b="0" i="0" u="none" strike="noStrike">
                <a:solidFill>
                  <a:srgbClr val="000000"/>
                </a:solidFill>
                <a:latin typeface="Aptos Narrow"/>
              </a:rPr>
              <a:pPr algn="ctr"/>
              <a:t>Head Office</a:t>
            </a:fld>
            <a:endParaRPr lang="en-US" sz="1100"/>
          </a:p>
        </xdr:txBody>
      </xdr:sp>
    </xdr:grpSp>
    <xdr:clientData/>
  </xdr:twoCellAnchor>
  <xdr:twoCellAnchor>
    <xdr:from>
      <xdr:col>50</xdr:col>
      <xdr:colOff>405814</xdr:colOff>
      <xdr:row>20</xdr:row>
      <xdr:rowOff>158920</xdr:rowOff>
    </xdr:from>
    <xdr:to>
      <xdr:col>52</xdr:col>
      <xdr:colOff>531960</xdr:colOff>
      <xdr:row>24</xdr:row>
      <xdr:rowOff>101771</xdr:rowOff>
    </xdr:to>
    <xdr:grpSp>
      <xdr:nvGrpSpPr>
        <xdr:cNvPr id="48" name="Group 47">
          <a:extLst>
            <a:ext uri="{FF2B5EF4-FFF2-40B4-BE49-F238E27FC236}">
              <a16:creationId xmlns:a16="http://schemas.microsoft.com/office/drawing/2014/main" id="{3FF30D45-66C5-41AE-B955-2FF2BBE41D9B}"/>
            </a:ext>
          </a:extLst>
        </xdr:cNvPr>
        <xdr:cNvGrpSpPr/>
      </xdr:nvGrpSpPr>
      <xdr:grpSpPr>
        <a:xfrm>
          <a:off x="31157957" y="3968920"/>
          <a:ext cx="1350789" cy="704851"/>
          <a:chOff x="3790950" y="381000"/>
          <a:chExt cx="1343025" cy="704851"/>
        </a:xfrm>
      </xdr:grpSpPr>
      <xdr:sp macro="" textlink="'PIVIOT TABLE'!AU17">
        <xdr:nvSpPr>
          <xdr:cNvPr id="49" name="TextBox 48">
            <a:extLst>
              <a:ext uri="{FF2B5EF4-FFF2-40B4-BE49-F238E27FC236}">
                <a16:creationId xmlns:a16="http://schemas.microsoft.com/office/drawing/2014/main" id="{BDDBBAB1-50AB-82F4-C54D-E50E63D9575D}"/>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63F34E-8496-4FCC-9150-8FF5375B7CC3}" type="TxLink">
              <a:rPr lang="en-US" sz="1100" b="0" i="0" u="none" strike="noStrike">
                <a:solidFill>
                  <a:srgbClr val="000000"/>
                </a:solidFill>
                <a:latin typeface="Aptos Narrow"/>
              </a:rPr>
              <a:pPr algn="ctr"/>
              <a:t>Position Level</a:t>
            </a:fld>
            <a:endParaRPr lang="en-US" sz="1100" b="1"/>
          </a:p>
        </xdr:txBody>
      </xdr:sp>
      <xdr:sp macro="" textlink="'PIVIOT TABLE'!AV17">
        <xdr:nvSpPr>
          <xdr:cNvPr id="50" name="TextBox 49">
            <a:extLst>
              <a:ext uri="{FF2B5EF4-FFF2-40B4-BE49-F238E27FC236}">
                <a16:creationId xmlns:a16="http://schemas.microsoft.com/office/drawing/2014/main" id="{E40418FC-4A14-42F6-440D-B55A8295AF01}"/>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6D2D0-A98E-4396-A57A-54DE53191837}" type="TxLink">
              <a:rPr lang="en-US" sz="1100" b="0" i="0" u="none" strike="noStrike">
                <a:solidFill>
                  <a:srgbClr val="000000"/>
                </a:solidFill>
                <a:latin typeface="Aptos Narrow"/>
              </a:rPr>
              <a:pPr algn="ctr"/>
              <a:t>Mid-level</a:t>
            </a:fld>
            <a:endParaRPr lang="en-US" sz="1100"/>
          </a:p>
        </xdr:txBody>
      </xdr:sp>
    </xdr:grpSp>
    <xdr:clientData/>
  </xdr:twoCellAnchor>
  <xdr:twoCellAnchor>
    <xdr:from>
      <xdr:col>45</xdr:col>
      <xdr:colOff>457824</xdr:colOff>
      <xdr:row>20</xdr:row>
      <xdr:rowOff>188055</xdr:rowOff>
    </xdr:from>
    <xdr:to>
      <xdr:col>47</xdr:col>
      <xdr:colOff>583971</xdr:colOff>
      <xdr:row>24</xdr:row>
      <xdr:rowOff>130906</xdr:rowOff>
    </xdr:to>
    <xdr:grpSp>
      <xdr:nvGrpSpPr>
        <xdr:cNvPr id="51" name="Group 50">
          <a:extLst>
            <a:ext uri="{FF2B5EF4-FFF2-40B4-BE49-F238E27FC236}">
              <a16:creationId xmlns:a16="http://schemas.microsoft.com/office/drawing/2014/main" id="{D87CEB9A-6407-4E80-984C-0697FADA803B}"/>
            </a:ext>
          </a:extLst>
        </xdr:cNvPr>
        <xdr:cNvGrpSpPr/>
      </xdr:nvGrpSpPr>
      <xdr:grpSpPr>
        <a:xfrm>
          <a:off x="28148360" y="3998055"/>
          <a:ext cx="1350790" cy="704851"/>
          <a:chOff x="3790950" y="381000"/>
          <a:chExt cx="1343025" cy="704851"/>
        </a:xfrm>
      </xdr:grpSpPr>
      <xdr:sp macro="" textlink="'PIVIOT TABLE'!AU14">
        <xdr:nvSpPr>
          <xdr:cNvPr id="52" name="TextBox 51">
            <a:extLst>
              <a:ext uri="{FF2B5EF4-FFF2-40B4-BE49-F238E27FC236}">
                <a16:creationId xmlns:a16="http://schemas.microsoft.com/office/drawing/2014/main" id="{665AEBB6-3F20-015E-09A0-E1F06BDF968A}"/>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F05560-1D51-4A1C-80B3-4A1A801F3C4E}" type="TxLink">
              <a:rPr lang="en-US" sz="1100" b="0" i="0" u="none" strike="noStrike">
                <a:solidFill>
                  <a:srgbClr val="000000"/>
                </a:solidFill>
                <a:latin typeface="Aptos Narrow"/>
              </a:rPr>
              <a:pPr algn="ctr"/>
              <a:t>Job Title</a:t>
            </a:fld>
            <a:endParaRPr lang="en-US" sz="1100" b="1"/>
          </a:p>
        </xdr:txBody>
      </xdr:sp>
      <xdr:sp macro="" textlink="'PIVIOT TABLE'!AV15">
        <xdr:nvSpPr>
          <xdr:cNvPr id="53" name="TextBox 52">
            <a:extLst>
              <a:ext uri="{FF2B5EF4-FFF2-40B4-BE49-F238E27FC236}">
                <a16:creationId xmlns:a16="http://schemas.microsoft.com/office/drawing/2014/main" id="{9621B7B5-7DA5-F2BD-43EE-490BDD9D82B5}"/>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448B02-95F4-45CE-ADB6-368F353B83CF}" type="TxLink">
              <a:rPr lang="en-US" sz="1100" b="0" i="0" u="none" strike="noStrike">
                <a:solidFill>
                  <a:srgbClr val="000000"/>
                </a:solidFill>
                <a:latin typeface="Aptos Narrow"/>
              </a:rPr>
              <a:pPr algn="ctr"/>
              <a:t>The Human Resources Assistant is responsible for supporting daily HR functions and assisting in various administrative tasks. The role focuses on employee onboarding, maintaining HR records, payroll processing support, and general employee communication. </a:t>
            </a:fld>
            <a:endParaRPr lang="en-US" sz="1100"/>
          </a:p>
        </xdr:txBody>
      </xdr:sp>
    </xdr:grpSp>
    <xdr:clientData/>
  </xdr:twoCellAnchor>
  <xdr:twoCellAnchor>
    <xdr:from>
      <xdr:col>55</xdr:col>
      <xdr:colOff>531432</xdr:colOff>
      <xdr:row>20</xdr:row>
      <xdr:rowOff>69273</xdr:rowOff>
    </xdr:from>
    <xdr:to>
      <xdr:col>58</xdr:col>
      <xdr:colOff>44227</xdr:colOff>
      <xdr:row>24</xdr:row>
      <xdr:rowOff>12124</xdr:rowOff>
    </xdr:to>
    <xdr:grpSp>
      <xdr:nvGrpSpPr>
        <xdr:cNvPr id="54" name="Group 53">
          <a:extLst>
            <a:ext uri="{FF2B5EF4-FFF2-40B4-BE49-F238E27FC236}">
              <a16:creationId xmlns:a16="http://schemas.microsoft.com/office/drawing/2014/main" id="{2B5EDDD1-A47B-4C64-8BB4-8F81CC82AE42}"/>
            </a:ext>
          </a:extLst>
        </xdr:cNvPr>
        <xdr:cNvGrpSpPr/>
      </xdr:nvGrpSpPr>
      <xdr:grpSpPr>
        <a:xfrm>
          <a:off x="34345182" y="3879273"/>
          <a:ext cx="1349759" cy="704851"/>
          <a:chOff x="3790950" y="381000"/>
          <a:chExt cx="1343025" cy="704851"/>
        </a:xfrm>
      </xdr:grpSpPr>
      <xdr:sp macro="" textlink="'PIVIOT TABLE'!AU19">
        <xdr:nvSpPr>
          <xdr:cNvPr id="55" name="TextBox 54">
            <a:extLst>
              <a:ext uri="{FF2B5EF4-FFF2-40B4-BE49-F238E27FC236}">
                <a16:creationId xmlns:a16="http://schemas.microsoft.com/office/drawing/2014/main" id="{DC028978-E9B2-C7CE-5C2C-89D21D994623}"/>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02896D-AAD3-4D07-AC21-F1F81B577BC4}" type="TxLink">
              <a:rPr lang="en-US" sz="1100" b="0" i="0" u="none" strike="noStrike">
                <a:solidFill>
                  <a:srgbClr val="000000"/>
                </a:solidFill>
                <a:latin typeface="Aptos Narrow"/>
              </a:rPr>
              <a:pPr algn="ctr"/>
              <a:t>Nationality</a:t>
            </a:fld>
            <a:endParaRPr lang="en-US" sz="1100" b="1"/>
          </a:p>
        </xdr:txBody>
      </xdr:sp>
      <xdr:sp macro="" textlink="'PIVIOT TABLE'!AV19">
        <xdr:nvSpPr>
          <xdr:cNvPr id="56" name="TextBox 55">
            <a:extLst>
              <a:ext uri="{FF2B5EF4-FFF2-40B4-BE49-F238E27FC236}">
                <a16:creationId xmlns:a16="http://schemas.microsoft.com/office/drawing/2014/main" id="{C8CE70DF-DE22-DEF1-C143-C2022DF7B29E}"/>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840716-0F39-40EA-A054-3B1BAA301067}" type="TxLink">
              <a:rPr lang="en-US" sz="1100" b="0" i="0" u="none" strike="noStrike">
                <a:solidFill>
                  <a:srgbClr val="000000"/>
                </a:solidFill>
                <a:latin typeface="Aptos Narrow"/>
              </a:rPr>
              <a:pPr algn="ctr"/>
              <a:t>Egyptian</a:t>
            </a:fld>
            <a:endParaRPr lang="en-US" sz="1100"/>
          </a:p>
        </xdr:txBody>
      </xdr:sp>
    </xdr:grpSp>
    <xdr:clientData/>
  </xdr:twoCellAnchor>
  <xdr:twoCellAnchor>
    <xdr:from>
      <xdr:col>60</xdr:col>
      <xdr:colOff>567721</xdr:colOff>
      <xdr:row>20</xdr:row>
      <xdr:rowOff>71515</xdr:rowOff>
    </xdr:from>
    <xdr:to>
      <xdr:col>63</xdr:col>
      <xdr:colOff>80516</xdr:colOff>
      <xdr:row>24</xdr:row>
      <xdr:rowOff>14366</xdr:rowOff>
    </xdr:to>
    <xdr:grpSp>
      <xdr:nvGrpSpPr>
        <xdr:cNvPr id="60" name="Group 59">
          <a:extLst>
            <a:ext uri="{FF2B5EF4-FFF2-40B4-BE49-F238E27FC236}">
              <a16:creationId xmlns:a16="http://schemas.microsoft.com/office/drawing/2014/main" id="{FF2F6BC8-CAFA-4AEE-BE1B-4C0391D8D7E2}"/>
            </a:ext>
          </a:extLst>
        </xdr:cNvPr>
        <xdr:cNvGrpSpPr/>
      </xdr:nvGrpSpPr>
      <xdr:grpSpPr>
        <a:xfrm>
          <a:off x="37443078" y="3881515"/>
          <a:ext cx="1349759" cy="704851"/>
          <a:chOff x="3790950" y="381000"/>
          <a:chExt cx="1343025" cy="704851"/>
        </a:xfrm>
      </xdr:grpSpPr>
      <xdr:sp macro="" textlink="'PIVIOT TABLE'!AU21">
        <xdr:nvSpPr>
          <xdr:cNvPr id="61" name="TextBox 60">
            <a:extLst>
              <a:ext uri="{FF2B5EF4-FFF2-40B4-BE49-F238E27FC236}">
                <a16:creationId xmlns:a16="http://schemas.microsoft.com/office/drawing/2014/main" id="{C86B2422-7A53-C83A-83B5-1A4FBF9B8795}"/>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6BF948D-D072-46B4-AD53-C9AE3B36E7FA}" type="TxLink">
              <a:rPr lang="en-US" sz="1100" b="0" i="0" u="none" strike="noStrike">
                <a:solidFill>
                  <a:srgbClr val="000000"/>
                </a:solidFill>
                <a:latin typeface="Aptos Narrow"/>
              </a:rPr>
              <a:pPr algn="ctr"/>
              <a:t>Hiring Date</a:t>
            </a:fld>
            <a:endParaRPr lang="en-US" sz="1100" b="1"/>
          </a:p>
        </xdr:txBody>
      </xdr:sp>
      <xdr:sp macro="" textlink="'PIVIOT TABLE'!AV21">
        <xdr:nvSpPr>
          <xdr:cNvPr id="62" name="TextBox 61">
            <a:extLst>
              <a:ext uri="{FF2B5EF4-FFF2-40B4-BE49-F238E27FC236}">
                <a16:creationId xmlns:a16="http://schemas.microsoft.com/office/drawing/2014/main" id="{C901DC98-0BF1-3D09-843A-8282231343FA}"/>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E2215DC-1391-4B27-BF8C-BA7734AF8264}" type="TxLink">
              <a:rPr lang="en-US" sz="1100" b="0" i="0" u="none" strike="noStrike">
                <a:solidFill>
                  <a:srgbClr val="000000"/>
                </a:solidFill>
                <a:latin typeface="Aptos Narrow"/>
              </a:rPr>
              <a:pPr algn="ctr"/>
              <a:t>7/25/22</a:t>
            </a:fld>
            <a:endParaRPr lang="en-US" sz="1100"/>
          </a:p>
        </xdr:txBody>
      </xdr:sp>
    </xdr:grpSp>
    <xdr:clientData/>
  </xdr:twoCellAnchor>
  <xdr:twoCellAnchor>
    <xdr:from>
      <xdr:col>42</xdr:col>
      <xdr:colOff>424543</xdr:colOff>
      <xdr:row>12</xdr:row>
      <xdr:rowOff>78922</xdr:rowOff>
    </xdr:from>
    <xdr:to>
      <xdr:col>44</xdr:col>
      <xdr:colOff>551089</xdr:colOff>
      <xdr:row>16</xdr:row>
      <xdr:rowOff>12248</xdr:rowOff>
    </xdr:to>
    <xdr:grpSp>
      <xdr:nvGrpSpPr>
        <xdr:cNvPr id="66" name="Group 65">
          <a:extLst>
            <a:ext uri="{FF2B5EF4-FFF2-40B4-BE49-F238E27FC236}">
              <a16:creationId xmlns:a16="http://schemas.microsoft.com/office/drawing/2014/main" id="{C143F224-3B52-6905-1D15-0AEACA0B4BA6}"/>
            </a:ext>
          </a:extLst>
        </xdr:cNvPr>
        <xdr:cNvGrpSpPr/>
      </xdr:nvGrpSpPr>
      <xdr:grpSpPr>
        <a:xfrm>
          <a:off x="26278114" y="2364922"/>
          <a:ext cx="1351189" cy="695326"/>
          <a:chOff x="3790950" y="381000"/>
          <a:chExt cx="1343025" cy="695326"/>
        </a:xfrm>
      </xdr:grpSpPr>
      <xdr:sp macro="" textlink="'PIVIOT TABLE'!D3">
        <xdr:nvSpPr>
          <xdr:cNvPr id="67" name="TextBox 66">
            <a:extLst>
              <a:ext uri="{FF2B5EF4-FFF2-40B4-BE49-F238E27FC236}">
                <a16:creationId xmlns:a16="http://schemas.microsoft.com/office/drawing/2014/main" id="{719321C2-5934-C084-4415-466124E0160E}"/>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5AB719-0298-48C9-A6B2-A76D7068AE1D}" type="TxLink">
              <a:rPr lang="en-US" sz="1100" b="1" i="0" u="none" strike="noStrike">
                <a:solidFill>
                  <a:srgbClr val="000000"/>
                </a:solidFill>
                <a:latin typeface="Aptos Narrow"/>
              </a:rPr>
              <a:pPr algn="ctr"/>
              <a:t>Attendance</a:t>
            </a:fld>
            <a:endParaRPr lang="en-US" sz="1100"/>
          </a:p>
        </xdr:txBody>
      </xdr:sp>
      <xdr:sp macro="" textlink="'PIVIOT TABLE'!D4">
        <xdr:nvSpPr>
          <xdr:cNvPr id="68" name="TextBox 67">
            <a:extLst>
              <a:ext uri="{FF2B5EF4-FFF2-40B4-BE49-F238E27FC236}">
                <a16:creationId xmlns:a16="http://schemas.microsoft.com/office/drawing/2014/main" id="{DCD529A9-4FB4-FF77-63EC-4C864D988323}"/>
              </a:ext>
            </a:extLst>
          </xdr:cNvPr>
          <xdr:cNvSpPr txBox="1"/>
        </xdr:nvSpPr>
        <xdr:spPr>
          <a:xfrm>
            <a:off x="3790950" y="790576"/>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42176B-778B-4A27-AB5D-8B64160151BA}" type="TxLink">
              <a:rPr lang="en-US" sz="1100" b="0" i="0" u="none" strike="noStrike">
                <a:solidFill>
                  <a:srgbClr val="000000"/>
                </a:solidFill>
                <a:latin typeface="Aptos Narrow"/>
              </a:rPr>
              <a:pPr algn="ctr"/>
              <a:t>104</a:t>
            </a:fld>
            <a:endParaRPr lang="en-US" sz="1100"/>
          </a:p>
        </xdr:txBody>
      </xdr:sp>
    </xdr:grpSp>
    <xdr:clientData/>
  </xdr:twoCellAnchor>
  <xdr:twoCellAnchor>
    <xdr:from>
      <xdr:col>3</xdr:col>
      <xdr:colOff>449036</xdr:colOff>
      <xdr:row>4</xdr:row>
      <xdr:rowOff>81643</xdr:rowOff>
    </xdr:from>
    <xdr:to>
      <xdr:col>25</xdr:col>
      <xdr:colOff>517072</xdr:colOff>
      <xdr:row>41</xdr:row>
      <xdr:rowOff>77560</xdr:rowOff>
    </xdr:to>
    <xdr:sp macro="" textlink="">
      <xdr:nvSpPr>
        <xdr:cNvPr id="79" name="Rectangle: Rounded Corners 78">
          <a:extLst>
            <a:ext uri="{FF2B5EF4-FFF2-40B4-BE49-F238E27FC236}">
              <a16:creationId xmlns:a16="http://schemas.microsoft.com/office/drawing/2014/main" id="{AD667DF6-F93C-4B12-859D-047EB0D24433}"/>
            </a:ext>
          </a:extLst>
        </xdr:cNvPr>
        <xdr:cNvSpPr/>
      </xdr:nvSpPr>
      <xdr:spPr>
        <a:xfrm>
          <a:off x="2286000" y="843643"/>
          <a:ext cx="13675179" cy="7044417"/>
        </a:xfrm>
        <a:prstGeom prst="roundRect">
          <a:avLst>
            <a:gd name="adj" fmla="val 4213"/>
          </a:avLst>
        </a:prstGeom>
        <a:noFill/>
        <a:ln w="28575">
          <a:solidFill>
            <a:schemeClr val="tx2">
              <a:lumMod val="75000"/>
              <a:lumOff val="25000"/>
            </a:schemeClr>
          </a:solidFill>
        </a:ln>
        <a:effectLst>
          <a:outerShdw blurRad="50800" dist="38100" dir="13500000" algn="b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45</xdr:col>
      <xdr:colOff>253093</xdr:colOff>
      <xdr:row>12</xdr:row>
      <xdr:rowOff>59872</xdr:rowOff>
    </xdr:from>
    <xdr:to>
      <xdr:col>47</xdr:col>
      <xdr:colOff>376918</xdr:colOff>
      <xdr:row>15</xdr:row>
      <xdr:rowOff>183698</xdr:rowOff>
    </xdr:to>
    <xdr:grpSp>
      <xdr:nvGrpSpPr>
        <xdr:cNvPr id="69" name="Group 68">
          <a:extLst>
            <a:ext uri="{FF2B5EF4-FFF2-40B4-BE49-F238E27FC236}">
              <a16:creationId xmlns:a16="http://schemas.microsoft.com/office/drawing/2014/main" id="{9C996336-2E7E-2135-F13A-7DCF35A3FA42}"/>
            </a:ext>
          </a:extLst>
        </xdr:cNvPr>
        <xdr:cNvGrpSpPr/>
      </xdr:nvGrpSpPr>
      <xdr:grpSpPr>
        <a:xfrm>
          <a:off x="27943629" y="2345872"/>
          <a:ext cx="1348468" cy="695326"/>
          <a:chOff x="3790950" y="381000"/>
          <a:chExt cx="1343025" cy="695326"/>
        </a:xfrm>
      </xdr:grpSpPr>
      <xdr:sp macro="" textlink="'PIVIOT TABLE'!G3:H3">
        <xdr:nvSpPr>
          <xdr:cNvPr id="70" name="TextBox 69">
            <a:extLst>
              <a:ext uri="{FF2B5EF4-FFF2-40B4-BE49-F238E27FC236}">
                <a16:creationId xmlns:a16="http://schemas.microsoft.com/office/drawing/2014/main" id="{5F7D9A9E-7F76-A36B-2DE4-F624FE68C280}"/>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EB84F5-77F8-42C6-94F7-E1CCFA97396C}" type="TxLink">
              <a:rPr lang="en-US" sz="1100" b="1" i="0" u="none" strike="noStrike">
                <a:solidFill>
                  <a:srgbClr val="000000"/>
                </a:solidFill>
                <a:latin typeface="Aptos Narrow"/>
              </a:rPr>
              <a:pPr algn="ctr"/>
              <a:t>Days total attended</a:t>
            </a:fld>
            <a:endParaRPr lang="en-US" sz="1100"/>
          </a:p>
        </xdr:txBody>
      </xdr:sp>
      <xdr:sp macro="" textlink="'PIVIOT TABLE'!G5">
        <xdr:nvSpPr>
          <xdr:cNvPr id="71" name="TextBox 70">
            <a:extLst>
              <a:ext uri="{FF2B5EF4-FFF2-40B4-BE49-F238E27FC236}">
                <a16:creationId xmlns:a16="http://schemas.microsoft.com/office/drawing/2014/main" id="{F8F5E9EB-41F2-197F-2C25-9770BC4758CE}"/>
              </a:ext>
            </a:extLst>
          </xdr:cNvPr>
          <xdr:cNvSpPr txBox="1"/>
        </xdr:nvSpPr>
        <xdr:spPr>
          <a:xfrm>
            <a:off x="3790950" y="790576"/>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3C59AE-1F0B-4ECA-A9C3-101CBAAB56EC}" type="TxLink">
              <a:rPr lang="en-US" sz="1100" b="0" i="0" u="none" strike="noStrike">
                <a:solidFill>
                  <a:srgbClr val="000000"/>
                </a:solidFill>
                <a:latin typeface="Aptos Narrow"/>
              </a:rPr>
              <a:pPr algn="ctr"/>
              <a:t>20</a:t>
            </a:fld>
            <a:endParaRPr lang="en-US" sz="1100"/>
          </a:p>
        </xdr:txBody>
      </xdr:sp>
    </xdr:grpSp>
    <xdr:clientData/>
  </xdr:twoCellAnchor>
  <xdr:twoCellAnchor>
    <xdr:from>
      <xdr:col>48</xdr:col>
      <xdr:colOff>62593</xdr:colOff>
      <xdr:row>12</xdr:row>
      <xdr:rowOff>50347</xdr:rowOff>
    </xdr:from>
    <xdr:to>
      <xdr:col>50</xdr:col>
      <xdr:colOff>186418</xdr:colOff>
      <xdr:row>15</xdr:row>
      <xdr:rowOff>174173</xdr:rowOff>
    </xdr:to>
    <xdr:grpSp>
      <xdr:nvGrpSpPr>
        <xdr:cNvPr id="72" name="Group 71">
          <a:extLst>
            <a:ext uri="{FF2B5EF4-FFF2-40B4-BE49-F238E27FC236}">
              <a16:creationId xmlns:a16="http://schemas.microsoft.com/office/drawing/2014/main" id="{487A0AF8-314B-0342-6995-3BE3E039E10E}"/>
            </a:ext>
          </a:extLst>
        </xdr:cNvPr>
        <xdr:cNvGrpSpPr/>
      </xdr:nvGrpSpPr>
      <xdr:grpSpPr>
        <a:xfrm>
          <a:off x="29590093" y="2336347"/>
          <a:ext cx="1348468" cy="695326"/>
          <a:chOff x="3790950" y="381000"/>
          <a:chExt cx="1343025" cy="695326"/>
        </a:xfrm>
      </xdr:grpSpPr>
      <xdr:sp macro="" textlink="'PIVIOT TABLE'!J3:K3">
        <xdr:nvSpPr>
          <xdr:cNvPr id="73" name="TextBox 72">
            <a:extLst>
              <a:ext uri="{FF2B5EF4-FFF2-40B4-BE49-F238E27FC236}">
                <a16:creationId xmlns:a16="http://schemas.microsoft.com/office/drawing/2014/main" id="{C6F24839-E38E-584D-295C-97B0A7454383}"/>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FCFF9D-B864-484F-9211-000D251C9266}" type="TxLink">
              <a:rPr lang="en-US" sz="1100" b="1" i="0" u="none" strike="noStrike">
                <a:solidFill>
                  <a:srgbClr val="000000"/>
                </a:solidFill>
                <a:latin typeface="Aptos Narrow"/>
              </a:rPr>
              <a:pPr algn="ctr"/>
              <a:t>Days attended</a:t>
            </a:fld>
            <a:endParaRPr lang="en-US" sz="1100"/>
          </a:p>
        </xdr:txBody>
      </xdr:sp>
      <xdr:sp macro="" textlink="'PIVIOT TABLE'!J5">
        <xdr:nvSpPr>
          <xdr:cNvPr id="74" name="TextBox 73">
            <a:extLst>
              <a:ext uri="{FF2B5EF4-FFF2-40B4-BE49-F238E27FC236}">
                <a16:creationId xmlns:a16="http://schemas.microsoft.com/office/drawing/2014/main" id="{DF970D21-70E2-8F60-CDCF-B2F0312FA14E}"/>
              </a:ext>
            </a:extLst>
          </xdr:cNvPr>
          <xdr:cNvSpPr txBox="1"/>
        </xdr:nvSpPr>
        <xdr:spPr>
          <a:xfrm>
            <a:off x="3790950" y="790576"/>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E9DF1B-8665-4013-AD68-26FF1230DBDC}" type="TxLink">
              <a:rPr lang="en-US" sz="1100" b="0" i="0" u="none" strike="noStrike">
                <a:solidFill>
                  <a:srgbClr val="000000"/>
                </a:solidFill>
                <a:latin typeface="Aptos Narrow"/>
              </a:rPr>
              <a:pPr algn="ctr"/>
              <a:t>84</a:t>
            </a:fld>
            <a:endParaRPr lang="en-US" sz="1100"/>
          </a:p>
        </xdr:txBody>
      </xdr:sp>
    </xdr:grpSp>
    <xdr:clientData/>
  </xdr:twoCellAnchor>
  <xdr:twoCellAnchor>
    <xdr:from>
      <xdr:col>4</xdr:col>
      <xdr:colOff>9522</xdr:colOff>
      <xdr:row>5</xdr:row>
      <xdr:rowOff>54431</xdr:rowOff>
    </xdr:from>
    <xdr:to>
      <xdr:col>7</xdr:col>
      <xdr:colOff>27214</xdr:colOff>
      <xdr:row>14</xdr:row>
      <xdr:rowOff>27217</xdr:rowOff>
    </xdr:to>
    <xdr:sp macro="" textlink="">
      <xdr:nvSpPr>
        <xdr:cNvPr id="75" name="Rectangle: Top Corners Rounded 74">
          <a:extLst>
            <a:ext uri="{FF2B5EF4-FFF2-40B4-BE49-F238E27FC236}">
              <a16:creationId xmlns:a16="http://schemas.microsoft.com/office/drawing/2014/main" id="{5D720039-E39E-6662-10FD-3B94FC2CABE1}"/>
            </a:ext>
          </a:extLst>
        </xdr:cNvPr>
        <xdr:cNvSpPr/>
      </xdr:nvSpPr>
      <xdr:spPr>
        <a:xfrm rot="5400000">
          <a:off x="2610529" y="855210"/>
          <a:ext cx="1687286" cy="1990727"/>
        </a:xfrm>
        <a:prstGeom prst="round2SameRect">
          <a:avLst>
            <a:gd name="adj1" fmla="val 11447"/>
            <a:gd name="adj2" fmla="val 0"/>
          </a:avLst>
        </a:prstGeom>
        <a:noFill/>
        <a:ln w="76200"/>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122463</xdr:colOff>
      <xdr:row>5</xdr:row>
      <xdr:rowOff>47225</xdr:rowOff>
    </xdr:from>
    <xdr:to>
      <xdr:col>20</xdr:col>
      <xdr:colOff>340179</xdr:colOff>
      <xdr:row>13</xdr:row>
      <xdr:rowOff>168088</xdr:rowOff>
    </xdr:to>
    <xdr:sp macro="" textlink="">
      <xdr:nvSpPr>
        <xdr:cNvPr id="80" name="Rectangle: Rounded Corners 79">
          <a:extLst>
            <a:ext uri="{FF2B5EF4-FFF2-40B4-BE49-F238E27FC236}">
              <a16:creationId xmlns:a16="http://schemas.microsoft.com/office/drawing/2014/main" id="{CA45FEB3-0141-47D8-96DE-774D5DB97893}"/>
            </a:ext>
          </a:extLst>
        </xdr:cNvPr>
        <xdr:cNvSpPr/>
      </xdr:nvSpPr>
      <xdr:spPr>
        <a:xfrm>
          <a:off x="4492757" y="999725"/>
          <a:ext cx="8084246" cy="1644863"/>
        </a:xfrm>
        <a:prstGeom prst="roundRect">
          <a:avLst>
            <a:gd name="adj" fmla="val 14376"/>
          </a:avLst>
        </a:prstGeom>
        <a:solidFill>
          <a:schemeClr val="bg2">
            <a:lumMod val="25000"/>
          </a:schemeClr>
        </a:solidFill>
        <a:ln>
          <a:solidFill>
            <a:schemeClr val="tx2">
              <a:lumMod val="75000"/>
              <a:lumOff val="25000"/>
            </a:schemeClr>
          </a:solidFill>
        </a:ln>
        <a:effectLst>
          <a:glow rad="63500">
            <a:schemeClr val="accent2">
              <a:satMod val="175000"/>
              <a:alpha val="40000"/>
            </a:schemeClr>
          </a:glow>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20</xdr:col>
      <xdr:colOff>432288</xdr:colOff>
      <xdr:row>4</xdr:row>
      <xdr:rowOff>180975</xdr:rowOff>
    </xdr:from>
    <xdr:to>
      <xdr:col>25</xdr:col>
      <xdr:colOff>436044</xdr:colOff>
      <xdr:row>24</xdr:row>
      <xdr:rowOff>131884</xdr:rowOff>
    </xdr:to>
    <xdr:sp macro="" textlink="">
      <xdr:nvSpPr>
        <xdr:cNvPr id="81" name="Rectangle: Rounded Corners 80">
          <a:extLst>
            <a:ext uri="{FF2B5EF4-FFF2-40B4-BE49-F238E27FC236}">
              <a16:creationId xmlns:a16="http://schemas.microsoft.com/office/drawing/2014/main" id="{931C8614-326A-41B6-BAEB-DC74000AC829}"/>
            </a:ext>
          </a:extLst>
        </xdr:cNvPr>
        <xdr:cNvSpPr/>
      </xdr:nvSpPr>
      <xdr:spPr>
        <a:xfrm>
          <a:off x="12726865" y="942975"/>
          <a:ext cx="3044429" cy="3760909"/>
        </a:xfrm>
        <a:prstGeom prst="roundRect">
          <a:avLst>
            <a:gd name="adj" fmla="val 11329"/>
          </a:avLst>
        </a:prstGeom>
        <a:solidFill>
          <a:srgbClr val="032B1D"/>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204106</xdr:colOff>
      <xdr:row>5</xdr:row>
      <xdr:rowOff>108857</xdr:rowOff>
    </xdr:from>
    <xdr:to>
      <xdr:col>13</xdr:col>
      <xdr:colOff>231321</xdr:colOff>
      <xdr:row>8</xdr:row>
      <xdr:rowOff>176893</xdr:rowOff>
    </xdr:to>
    <xdr:sp macro="" textlink="'PIVIOT TABLE'!$AV$11">
      <xdr:nvSpPr>
        <xdr:cNvPr id="82" name="TextBox 81">
          <a:extLst>
            <a:ext uri="{FF2B5EF4-FFF2-40B4-BE49-F238E27FC236}">
              <a16:creationId xmlns:a16="http://schemas.microsoft.com/office/drawing/2014/main" id="{A4ABBBDE-2E0D-C06C-D4D4-244D4E807B2E}"/>
            </a:ext>
          </a:extLst>
        </xdr:cNvPr>
        <xdr:cNvSpPr txBox="1"/>
      </xdr:nvSpPr>
      <xdr:spPr>
        <a:xfrm>
          <a:off x="4626427" y="1061357"/>
          <a:ext cx="3701144" cy="639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2A4C240-15EE-4F6E-867F-306F5A99BA35}" type="TxLink">
            <a:rPr lang="en-US" sz="2800" b="1" i="0" u="none" strike="noStrike">
              <a:solidFill>
                <a:schemeClr val="bg1"/>
              </a:solidFill>
              <a:effectLst>
                <a:glow rad="63500">
                  <a:schemeClr val="accent5">
                    <a:satMod val="175000"/>
                    <a:alpha val="40000"/>
                  </a:schemeClr>
                </a:glow>
                <a:outerShdw blurRad="50800" dist="38100" dir="16200000" rotWithShape="0">
                  <a:prstClr val="black">
                    <a:alpha val="40000"/>
                  </a:prstClr>
                </a:outerShdw>
              </a:effectLst>
              <a:latin typeface="+mj-lt"/>
              <a:ea typeface="+mn-ea"/>
              <a:cs typeface="+mn-cs"/>
            </a:rPr>
            <a:pPr marL="0" indent="0"/>
            <a:t>Ali Charle</a:t>
          </a:fld>
          <a:endParaRPr lang="en-US" sz="2800" b="1" i="0" u="none" strike="noStrike">
            <a:solidFill>
              <a:schemeClr val="bg1"/>
            </a:solidFill>
            <a:effectLst>
              <a:glow rad="63500">
                <a:schemeClr val="accent5">
                  <a:satMod val="175000"/>
                  <a:alpha val="40000"/>
                </a:schemeClr>
              </a:glow>
              <a:outerShdw blurRad="50800" dist="38100" dir="16200000" rotWithShape="0">
                <a:prstClr val="black">
                  <a:alpha val="40000"/>
                </a:prstClr>
              </a:outerShdw>
            </a:effectLst>
            <a:latin typeface="+mj-lt"/>
            <a:ea typeface="+mn-ea"/>
            <a:cs typeface="+mn-cs"/>
          </a:endParaRPr>
        </a:p>
      </xdr:txBody>
    </xdr:sp>
    <xdr:clientData/>
  </xdr:twoCellAnchor>
  <xdr:twoCellAnchor>
    <xdr:from>
      <xdr:col>7</xdr:col>
      <xdr:colOff>319396</xdr:colOff>
      <xdr:row>8</xdr:row>
      <xdr:rowOff>17565</xdr:rowOff>
    </xdr:from>
    <xdr:to>
      <xdr:col>11</xdr:col>
      <xdr:colOff>235032</xdr:colOff>
      <xdr:row>10</xdr:row>
      <xdr:rowOff>71994</xdr:rowOff>
    </xdr:to>
    <xdr:sp macro="" textlink="'PIVIOT TABLE'!AV14">
      <xdr:nvSpPr>
        <xdr:cNvPr id="83" name="TextBox 82">
          <a:extLst>
            <a:ext uri="{FF2B5EF4-FFF2-40B4-BE49-F238E27FC236}">
              <a16:creationId xmlns:a16="http://schemas.microsoft.com/office/drawing/2014/main" id="{4830454B-941A-461D-AF0D-1639147A3223}"/>
            </a:ext>
          </a:extLst>
        </xdr:cNvPr>
        <xdr:cNvSpPr txBox="1"/>
      </xdr:nvSpPr>
      <xdr:spPr>
        <a:xfrm>
          <a:off x="4700896" y="1541565"/>
          <a:ext cx="2340181" cy="4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4E85E41-2285-4E26-BF42-B714702C1CD6}" type="TxLink">
            <a:rPr lang="en-US" sz="1400" b="1" i="0" u="none" strike="noStrike">
              <a:solidFill>
                <a:schemeClr val="bg1"/>
              </a:solidFill>
              <a:latin typeface="Aptos Narrow"/>
              <a:ea typeface="+mn-ea"/>
              <a:cs typeface="+mn-cs"/>
            </a:rPr>
            <a:pPr marL="0" indent="0"/>
            <a:t>Human Resources Assistant</a:t>
          </a:fld>
          <a:endParaRPr lang="en-US" sz="3600" b="1" i="0" u="none" strike="noStrike">
            <a:solidFill>
              <a:schemeClr val="bg1"/>
            </a:solidFill>
            <a:latin typeface="Aptos Narrow"/>
            <a:ea typeface="+mn-ea"/>
            <a:cs typeface="+mn-cs"/>
          </a:endParaRPr>
        </a:p>
      </xdr:txBody>
    </xdr:sp>
    <xdr:clientData/>
  </xdr:twoCellAnchor>
  <xdr:twoCellAnchor>
    <xdr:from>
      <xdr:col>12</xdr:col>
      <xdr:colOff>105393</xdr:colOff>
      <xdr:row>5</xdr:row>
      <xdr:rowOff>141267</xdr:rowOff>
    </xdr:from>
    <xdr:to>
      <xdr:col>20</xdr:col>
      <xdr:colOff>333996</xdr:colOff>
      <xdr:row>9</xdr:row>
      <xdr:rowOff>56903</xdr:rowOff>
    </xdr:to>
    <xdr:sp macro="" textlink="'PIVIOT TABLE'!AV15">
      <xdr:nvSpPr>
        <xdr:cNvPr id="84" name="TextBox 83">
          <a:extLst>
            <a:ext uri="{FF2B5EF4-FFF2-40B4-BE49-F238E27FC236}">
              <a16:creationId xmlns:a16="http://schemas.microsoft.com/office/drawing/2014/main" id="{68C25E10-0726-461B-B4E4-F3C51AAB009E}"/>
            </a:ext>
          </a:extLst>
        </xdr:cNvPr>
        <xdr:cNvSpPr txBox="1"/>
      </xdr:nvSpPr>
      <xdr:spPr>
        <a:xfrm>
          <a:off x="7517575" y="1093767"/>
          <a:ext cx="5077694" cy="677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41D6D20-F6F9-42A2-8B3D-7611427E644C}" type="TxLink">
            <a:rPr lang="en-US" sz="1100" b="0" i="0" u="none" strike="noStrike">
              <a:solidFill>
                <a:schemeClr val="bg1">
                  <a:lumMod val="85000"/>
                </a:schemeClr>
              </a:solidFill>
              <a:latin typeface="Aptos Narrow"/>
              <a:ea typeface="+mn-ea"/>
              <a:cs typeface="+mn-cs"/>
            </a:rPr>
            <a:pPr marL="0" indent="0"/>
            <a:t>The Human Resources Assistant is responsible for supporting daily HR functions and assisting in various administrative tasks. The role focuses on employee onboarding, maintaining HR records, payroll processing support, and general employee communication. </a:t>
          </a:fld>
          <a:endParaRPr lang="en-US" sz="3600" b="1" i="0" u="none" strike="noStrike">
            <a:solidFill>
              <a:schemeClr val="bg1">
                <a:lumMod val="85000"/>
              </a:schemeClr>
            </a:solidFill>
            <a:latin typeface="Aptos Narrow"/>
            <a:ea typeface="+mn-ea"/>
            <a:cs typeface="+mn-cs"/>
          </a:endParaRPr>
        </a:p>
      </xdr:txBody>
    </xdr:sp>
    <xdr:clientData/>
  </xdr:twoCellAnchor>
  <xdr:twoCellAnchor>
    <xdr:from>
      <xdr:col>8</xdr:col>
      <xdr:colOff>264721</xdr:colOff>
      <xdr:row>9</xdr:row>
      <xdr:rowOff>154618</xdr:rowOff>
    </xdr:from>
    <xdr:to>
      <xdr:col>20</xdr:col>
      <xdr:colOff>276648</xdr:colOff>
      <xdr:row>13</xdr:row>
      <xdr:rowOff>1292</xdr:rowOff>
    </xdr:to>
    <xdr:grpSp>
      <xdr:nvGrpSpPr>
        <xdr:cNvPr id="135" name="Group 134">
          <a:extLst>
            <a:ext uri="{FF2B5EF4-FFF2-40B4-BE49-F238E27FC236}">
              <a16:creationId xmlns:a16="http://schemas.microsoft.com/office/drawing/2014/main" id="{02D60860-3981-EC74-BBCB-45DD2B54DD07}"/>
            </a:ext>
          </a:extLst>
        </xdr:cNvPr>
        <xdr:cNvGrpSpPr/>
      </xdr:nvGrpSpPr>
      <xdr:grpSpPr>
        <a:xfrm>
          <a:off x="5299364" y="1869118"/>
          <a:ext cx="7359784" cy="608674"/>
          <a:chOff x="5286993" y="1923110"/>
          <a:chExt cx="7285564" cy="608674"/>
        </a:xfrm>
      </xdr:grpSpPr>
      <xdr:grpSp>
        <xdr:nvGrpSpPr>
          <xdr:cNvPr id="104" name="Group 103">
            <a:extLst>
              <a:ext uri="{FF2B5EF4-FFF2-40B4-BE49-F238E27FC236}">
                <a16:creationId xmlns:a16="http://schemas.microsoft.com/office/drawing/2014/main" id="{2D188EF2-9DD1-9393-8BAD-0AB14093EC31}"/>
              </a:ext>
            </a:extLst>
          </xdr:cNvPr>
          <xdr:cNvGrpSpPr/>
        </xdr:nvGrpSpPr>
        <xdr:grpSpPr>
          <a:xfrm>
            <a:off x="5286993" y="1957653"/>
            <a:ext cx="1188609" cy="572037"/>
            <a:chOff x="5306786" y="1971260"/>
            <a:chExt cx="1200979" cy="572037"/>
          </a:xfrm>
        </xdr:grpSpPr>
        <xdr:grpSp>
          <xdr:nvGrpSpPr>
            <xdr:cNvPr id="102" name="Group 101">
              <a:extLst>
                <a:ext uri="{FF2B5EF4-FFF2-40B4-BE49-F238E27FC236}">
                  <a16:creationId xmlns:a16="http://schemas.microsoft.com/office/drawing/2014/main" id="{707172B7-06AF-D098-EFA7-286BE8C49558}"/>
                </a:ext>
              </a:extLst>
            </xdr:cNvPr>
            <xdr:cNvGrpSpPr/>
          </xdr:nvGrpSpPr>
          <xdr:grpSpPr>
            <a:xfrm>
              <a:off x="5306786" y="2164894"/>
              <a:ext cx="1115786" cy="378403"/>
              <a:chOff x="5269105" y="2164894"/>
              <a:chExt cx="1107412" cy="378403"/>
            </a:xfrm>
            <a:solidFill>
              <a:schemeClr val="bg1">
                <a:lumMod val="50000"/>
              </a:schemeClr>
            </a:solidFill>
          </xdr:grpSpPr>
          <xdr:sp macro="" textlink="">
            <xdr:nvSpPr>
              <xdr:cNvPr id="98" name="Rectangle: Rounded Corners 97">
                <a:extLst>
                  <a:ext uri="{FF2B5EF4-FFF2-40B4-BE49-F238E27FC236}">
                    <a16:creationId xmlns:a16="http://schemas.microsoft.com/office/drawing/2014/main" id="{9F74B52D-717E-3A83-907B-F6701FA53CDA}"/>
                  </a:ext>
                </a:extLst>
              </xdr:cNvPr>
              <xdr:cNvSpPr/>
            </xdr:nvSpPr>
            <xdr:spPr>
              <a:xfrm>
                <a:off x="5269105" y="2164894"/>
                <a:ext cx="1107412" cy="378403"/>
              </a:xfrm>
              <a:prstGeom prst="roundRect">
                <a:avLst>
                  <a:gd name="adj" fmla="val 50000"/>
                </a:avLst>
              </a:prstGeom>
              <a:grp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IOT TABLE'!AV12">
            <xdr:nvSpPr>
              <xdr:cNvPr id="99" name="TextBox 98">
                <a:extLst>
                  <a:ext uri="{FF2B5EF4-FFF2-40B4-BE49-F238E27FC236}">
                    <a16:creationId xmlns:a16="http://schemas.microsoft.com/office/drawing/2014/main" id="{2BB746CE-0B0C-5252-80D5-00D2E5E44D33}"/>
                  </a:ext>
                </a:extLst>
              </xdr:cNvPr>
              <xdr:cNvSpPr txBox="1"/>
            </xdr:nvSpPr>
            <xdr:spPr>
              <a:xfrm>
                <a:off x="5470240" y="2205221"/>
                <a:ext cx="807039" cy="22363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BBBE67-4DC7-4C93-B601-F2084326B26B}" type="TxLink">
                  <a:rPr lang="en-US" sz="1100" b="0" i="0" u="none" strike="noStrike">
                    <a:solidFill>
                      <a:srgbClr val="000000"/>
                    </a:solidFill>
                    <a:latin typeface="Aptos Narrow"/>
                  </a:rPr>
                  <a:pPr/>
                  <a:t>652-20589</a:t>
                </a:fld>
                <a:endParaRPr lang="en-US" sz="1100"/>
              </a:p>
            </xdr:txBody>
          </xdr:sp>
          <xdr:sp macro="" textlink="'PIVIOT TABLE'!AV12">
            <xdr:nvSpPr>
              <xdr:cNvPr id="101" name="TextBox 100">
                <a:extLst>
                  <a:ext uri="{FF2B5EF4-FFF2-40B4-BE49-F238E27FC236}">
                    <a16:creationId xmlns:a16="http://schemas.microsoft.com/office/drawing/2014/main" id="{33E69600-CE7A-4875-A9E8-E9FCF87A2CCC}"/>
                  </a:ext>
                </a:extLst>
              </xdr:cNvPr>
              <xdr:cNvSpPr txBox="1"/>
            </xdr:nvSpPr>
            <xdr:spPr>
              <a:xfrm>
                <a:off x="5357681" y="2178741"/>
                <a:ext cx="3033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t>
                </a:r>
              </a:p>
            </xdr:txBody>
          </xdr:sp>
        </xdr:grpSp>
        <xdr:sp macro="" textlink="'PIVIOT TABLE'!AU12">
          <xdr:nvSpPr>
            <xdr:cNvPr id="103" name="TextBox 102">
              <a:extLst>
                <a:ext uri="{FF2B5EF4-FFF2-40B4-BE49-F238E27FC236}">
                  <a16:creationId xmlns:a16="http://schemas.microsoft.com/office/drawing/2014/main" id="{51545A0A-F6CE-9079-0E75-C60F7F68ED00}"/>
                </a:ext>
              </a:extLst>
            </xdr:cNvPr>
            <xdr:cNvSpPr txBox="1"/>
          </xdr:nvSpPr>
          <xdr:spPr>
            <a:xfrm>
              <a:off x="5539883" y="1971260"/>
              <a:ext cx="967882"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4113441-F905-47CD-A63B-D087E8E3A5D0}" type="TxLink">
                <a:rPr lang="en-US" sz="800" b="1" i="0" u="none" strike="noStrike">
                  <a:solidFill>
                    <a:schemeClr val="bg2">
                      <a:lumMod val="50000"/>
                    </a:schemeClr>
                  </a:solidFill>
                  <a:latin typeface="Aptos Narrow"/>
                </a:rPr>
                <a:pPr/>
                <a:t>ID Number</a:t>
              </a:fld>
              <a:endParaRPr lang="en-US" sz="800" b="1">
                <a:solidFill>
                  <a:schemeClr val="bg2">
                    <a:lumMod val="50000"/>
                  </a:schemeClr>
                </a:solidFill>
              </a:endParaRPr>
            </a:p>
          </xdr:txBody>
        </xdr:sp>
      </xdr:grpSp>
      <xdr:grpSp>
        <xdr:nvGrpSpPr>
          <xdr:cNvPr id="105" name="Group 104">
            <a:extLst>
              <a:ext uri="{FF2B5EF4-FFF2-40B4-BE49-F238E27FC236}">
                <a16:creationId xmlns:a16="http://schemas.microsoft.com/office/drawing/2014/main" id="{89859D89-75E4-421B-B7EF-787ABAA17850}"/>
              </a:ext>
            </a:extLst>
          </xdr:cNvPr>
          <xdr:cNvGrpSpPr/>
        </xdr:nvGrpSpPr>
        <xdr:grpSpPr>
          <a:xfrm>
            <a:off x="6488378" y="1953048"/>
            <a:ext cx="1254551" cy="578736"/>
            <a:chOff x="5306787" y="1963934"/>
            <a:chExt cx="1267385" cy="511748"/>
          </a:xfrm>
        </xdr:grpSpPr>
        <xdr:grpSp>
          <xdr:nvGrpSpPr>
            <xdr:cNvPr id="106" name="Group 105">
              <a:extLst>
                <a:ext uri="{FF2B5EF4-FFF2-40B4-BE49-F238E27FC236}">
                  <a16:creationId xmlns:a16="http://schemas.microsoft.com/office/drawing/2014/main" id="{20BA08F7-EEB7-1B68-9191-43DB0237811D}"/>
                </a:ext>
              </a:extLst>
            </xdr:cNvPr>
            <xdr:cNvGrpSpPr/>
          </xdr:nvGrpSpPr>
          <xdr:grpSpPr>
            <a:xfrm>
              <a:off x="5306787" y="2136320"/>
              <a:ext cx="1247252" cy="339362"/>
              <a:chOff x="5269105" y="2136320"/>
              <a:chExt cx="1237891" cy="339362"/>
            </a:xfrm>
            <a:solidFill>
              <a:schemeClr val="bg1">
                <a:lumMod val="50000"/>
              </a:schemeClr>
            </a:solidFill>
          </xdr:grpSpPr>
          <xdr:sp macro="" textlink="">
            <xdr:nvSpPr>
              <xdr:cNvPr id="108" name="Rectangle: Rounded Corners 107">
                <a:extLst>
                  <a:ext uri="{FF2B5EF4-FFF2-40B4-BE49-F238E27FC236}">
                    <a16:creationId xmlns:a16="http://schemas.microsoft.com/office/drawing/2014/main" id="{E17D9EAF-D896-609B-4D94-9019C52C2810}"/>
                  </a:ext>
                </a:extLst>
              </xdr:cNvPr>
              <xdr:cNvSpPr/>
            </xdr:nvSpPr>
            <xdr:spPr>
              <a:xfrm>
                <a:off x="5269105" y="2136320"/>
                <a:ext cx="1107412" cy="339362"/>
              </a:xfrm>
              <a:prstGeom prst="roundRect">
                <a:avLst>
                  <a:gd name="adj" fmla="val 50000"/>
                </a:avLst>
              </a:prstGeom>
              <a:solidFill>
                <a:schemeClr val="accent6">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IOT TABLE'!AV13">
            <xdr:nvSpPr>
              <xdr:cNvPr id="109" name="TextBox 108">
                <a:extLst>
                  <a:ext uri="{FF2B5EF4-FFF2-40B4-BE49-F238E27FC236}">
                    <a16:creationId xmlns:a16="http://schemas.microsoft.com/office/drawing/2014/main" id="{F8F5CF18-B334-3DD0-40A1-AAD03EDCC1A7}"/>
                  </a:ext>
                </a:extLst>
              </xdr:cNvPr>
              <xdr:cNvSpPr txBox="1"/>
            </xdr:nvSpPr>
            <xdr:spPr>
              <a:xfrm>
                <a:off x="5452203" y="2189859"/>
                <a:ext cx="1054793" cy="223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4BC331-AF52-4D1C-9696-53F86122DA46}" type="TxLink">
                  <a:rPr lang="en-US" sz="1100" b="0" i="0" u="none" strike="noStrike">
                    <a:solidFill>
                      <a:srgbClr val="000000"/>
                    </a:solidFill>
                    <a:latin typeface="Aptos Narrow"/>
                  </a:rPr>
                  <a:pPr/>
                  <a:t>Real Estate</a:t>
                </a:fld>
                <a:endParaRPr lang="en-US" sz="1100"/>
              </a:p>
            </xdr:txBody>
          </xdr:sp>
          <xdr:sp macro="" textlink="'PIVIOT TABLE'!AV12">
            <xdr:nvSpPr>
              <xdr:cNvPr id="110" name="TextBox 109">
                <a:extLst>
                  <a:ext uri="{FF2B5EF4-FFF2-40B4-BE49-F238E27FC236}">
                    <a16:creationId xmlns:a16="http://schemas.microsoft.com/office/drawing/2014/main" id="{E231D3FA-DD3A-213F-286A-1BB62AF3A0B3}"/>
                  </a:ext>
                </a:extLst>
              </xdr:cNvPr>
              <xdr:cNvSpPr txBox="1"/>
            </xdr:nvSpPr>
            <xdr:spPr>
              <a:xfrm>
                <a:off x="5345627" y="2169384"/>
                <a:ext cx="3033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t>
                </a:r>
              </a:p>
            </xdr:txBody>
          </xdr:sp>
        </xdr:grpSp>
        <xdr:sp macro="" textlink="'PIVIOT TABLE'!AU13">
          <xdr:nvSpPr>
            <xdr:cNvPr id="107" name="TextBox 106">
              <a:extLst>
                <a:ext uri="{FF2B5EF4-FFF2-40B4-BE49-F238E27FC236}">
                  <a16:creationId xmlns:a16="http://schemas.microsoft.com/office/drawing/2014/main" id="{D7A949A1-7BE2-7A59-F1A1-684FB4E91ED9}"/>
                </a:ext>
              </a:extLst>
            </xdr:cNvPr>
            <xdr:cNvSpPr txBox="1"/>
          </xdr:nvSpPr>
          <xdr:spPr>
            <a:xfrm>
              <a:off x="5606290" y="1963934"/>
              <a:ext cx="967882"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17B860-F607-422F-A312-6483AA01326C}" type="TxLink">
                <a:rPr lang="en-US" sz="800" b="1" i="0" u="none" strike="noStrike">
                  <a:solidFill>
                    <a:schemeClr val="bg2">
                      <a:lumMod val="50000"/>
                    </a:schemeClr>
                  </a:solidFill>
                  <a:latin typeface="Aptos Narrow"/>
                </a:rPr>
                <a:pPr/>
                <a:t>Sector</a:t>
              </a:fld>
              <a:endParaRPr lang="en-US" sz="400" b="1">
                <a:solidFill>
                  <a:schemeClr val="bg2">
                    <a:lumMod val="50000"/>
                  </a:schemeClr>
                </a:solidFill>
              </a:endParaRPr>
            </a:p>
          </xdr:txBody>
        </xdr:sp>
      </xdr:grpSp>
      <xdr:grpSp>
        <xdr:nvGrpSpPr>
          <xdr:cNvPr id="111" name="Group 110">
            <a:extLst>
              <a:ext uri="{FF2B5EF4-FFF2-40B4-BE49-F238E27FC236}">
                <a16:creationId xmlns:a16="http://schemas.microsoft.com/office/drawing/2014/main" id="{49BE09EA-482B-4974-A2E6-0A7629CF37E6}"/>
              </a:ext>
            </a:extLst>
          </xdr:cNvPr>
          <xdr:cNvGrpSpPr/>
        </xdr:nvGrpSpPr>
        <xdr:grpSpPr>
          <a:xfrm>
            <a:off x="7712849" y="1949488"/>
            <a:ext cx="1171808" cy="552989"/>
            <a:chOff x="5316360" y="1971260"/>
            <a:chExt cx="1184027" cy="552989"/>
          </a:xfrm>
        </xdr:grpSpPr>
        <xdr:grpSp>
          <xdr:nvGrpSpPr>
            <xdr:cNvPr id="112" name="Group 111">
              <a:extLst>
                <a:ext uri="{FF2B5EF4-FFF2-40B4-BE49-F238E27FC236}">
                  <a16:creationId xmlns:a16="http://schemas.microsoft.com/office/drawing/2014/main" id="{4D2A3C18-E0D3-9309-A5E8-1BF5D511C13B}"/>
                </a:ext>
              </a:extLst>
            </xdr:cNvPr>
            <xdr:cNvGrpSpPr/>
          </xdr:nvGrpSpPr>
          <xdr:grpSpPr>
            <a:xfrm>
              <a:off x="5316360" y="2145845"/>
              <a:ext cx="1117674" cy="378404"/>
              <a:chOff x="5278603" y="2145845"/>
              <a:chExt cx="1109285" cy="378404"/>
            </a:xfrm>
            <a:solidFill>
              <a:schemeClr val="bg1">
                <a:lumMod val="50000"/>
              </a:schemeClr>
            </a:solidFill>
          </xdr:grpSpPr>
          <xdr:sp macro="" textlink="">
            <xdr:nvSpPr>
              <xdr:cNvPr id="114" name="Rectangle: Rounded Corners 113">
                <a:extLst>
                  <a:ext uri="{FF2B5EF4-FFF2-40B4-BE49-F238E27FC236}">
                    <a16:creationId xmlns:a16="http://schemas.microsoft.com/office/drawing/2014/main" id="{B5EE1144-C718-5A13-94D0-7898A71E6E57}"/>
                  </a:ext>
                </a:extLst>
              </xdr:cNvPr>
              <xdr:cNvSpPr/>
            </xdr:nvSpPr>
            <xdr:spPr>
              <a:xfrm>
                <a:off x="5278603" y="2145845"/>
                <a:ext cx="1107412" cy="378404"/>
              </a:xfrm>
              <a:prstGeom prst="roundRect">
                <a:avLst>
                  <a:gd name="adj" fmla="val 50000"/>
                </a:avLst>
              </a:prstGeom>
              <a:solidFill>
                <a:srgbClr val="FFC00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IOT TABLE'!AV16">
            <xdr:nvSpPr>
              <xdr:cNvPr id="115" name="TextBox 114">
                <a:extLst>
                  <a:ext uri="{FF2B5EF4-FFF2-40B4-BE49-F238E27FC236}">
                    <a16:creationId xmlns:a16="http://schemas.microsoft.com/office/drawing/2014/main" id="{920F065D-41E5-985A-C26F-445485C35E0D}"/>
                  </a:ext>
                </a:extLst>
              </xdr:cNvPr>
              <xdr:cNvSpPr txBox="1"/>
            </xdr:nvSpPr>
            <xdr:spPr>
              <a:xfrm>
                <a:off x="5477978" y="2210263"/>
                <a:ext cx="909910" cy="223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63831B-344F-40E6-B16B-C0286C2AA44F}" type="TxLink">
                  <a:rPr lang="en-US" sz="1100" b="0" i="0" u="none" strike="noStrike">
                    <a:solidFill>
                      <a:srgbClr val="000000"/>
                    </a:solidFill>
                    <a:latin typeface="Aptos Narrow"/>
                  </a:rPr>
                  <a:pPr/>
                  <a:t>Head Office</a:t>
                </a:fld>
                <a:endParaRPr lang="en-US" sz="1100"/>
              </a:p>
            </xdr:txBody>
          </xdr:sp>
          <xdr:sp macro="" textlink="'PIVIOT TABLE'!AV12">
            <xdr:nvSpPr>
              <xdr:cNvPr id="116" name="TextBox 115">
                <a:extLst>
                  <a:ext uri="{FF2B5EF4-FFF2-40B4-BE49-F238E27FC236}">
                    <a16:creationId xmlns:a16="http://schemas.microsoft.com/office/drawing/2014/main" id="{511F4DF3-8ADB-6682-2395-C1291031DDB9}"/>
                  </a:ext>
                </a:extLst>
              </xdr:cNvPr>
              <xdr:cNvSpPr txBox="1"/>
            </xdr:nvSpPr>
            <xdr:spPr>
              <a:xfrm>
                <a:off x="5371400" y="2183784"/>
                <a:ext cx="3033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t>
                </a:r>
              </a:p>
            </xdr:txBody>
          </xdr:sp>
        </xdr:grpSp>
        <xdr:sp macro="" textlink="'PIVIOT TABLE'!AU16">
          <xdr:nvSpPr>
            <xdr:cNvPr id="113" name="TextBox 112">
              <a:extLst>
                <a:ext uri="{FF2B5EF4-FFF2-40B4-BE49-F238E27FC236}">
                  <a16:creationId xmlns:a16="http://schemas.microsoft.com/office/drawing/2014/main" id="{67FCF37C-8EF6-D6AD-43BC-B6EFA8FA6358}"/>
                </a:ext>
              </a:extLst>
            </xdr:cNvPr>
            <xdr:cNvSpPr txBox="1"/>
          </xdr:nvSpPr>
          <xdr:spPr>
            <a:xfrm>
              <a:off x="5532505" y="1971260"/>
              <a:ext cx="967882"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825A00-46AB-4C59-A458-0AF41CE336F7}" type="TxLink">
                <a:rPr lang="en-US" sz="800" b="1" i="0" u="none" strike="noStrike">
                  <a:solidFill>
                    <a:schemeClr val="bg2">
                      <a:lumMod val="50000"/>
                    </a:schemeClr>
                  </a:solidFill>
                  <a:latin typeface="Aptos Narrow"/>
                </a:rPr>
                <a:pPr/>
                <a:t>Department</a:t>
              </a:fld>
              <a:endParaRPr lang="en-US" sz="400" b="1">
                <a:solidFill>
                  <a:schemeClr val="bg2">
                    <a:lumMod val="50000"/>
                  </a:schemeClr>
                </a:solidFill>
              </a:endParaRPr>
            </a:p>
          </xdr:txBody>
        </xdr:sp>
      </xdr:grpSp>
      <xdr:grpSp>
        <xdr:nvGrpSpPr>
          <xdr:cNvPr id="117" name="Group 116">
            <a:extLst>
              <a:ext uri="{FF2B5EF4-FFF2-40B4-BE49-F238E27FC236}">
                <a16:creationId xmlns:a16="http://schemas.microsoft.com/office/drawing/2014/main" id="{29B3B56C-B35F-4E0E-9E20-6C2A68429FAB}"/>
              </a:ext>
            </a:extLst>
          </xdr:cNvPr>
          <xdr:cNvGrpSpPr/>
        </xdr:nvGrpSpPr>
        <xdr:grpSpPr>
          <a:xfrm>
            <a:off x="8904766" y="1923948"/>
            <a:ext cx="1199287" cy="559479"/>
            <a:chOff x="5306790" y="1956606"/>
            <a:chExt cx="1211602" cy="559479"/>
          </a:xfrm>
        </xdr:grpSpPr>
        <xdr:grpSp>
          <xdr:nvGrpSpPr>
            <xdr:cNvPr id="118" name="Group 117">
              <a:extLst>
                <a:ext uri="{FF2B5EF4-FFF2-40B4-BE49-F238E27FC236}">
                  <a16:creationId xmlns:a16="http://schemas.microsoft.com/office/drawing/2014/main" id="{1B3E4435-6169-70D7-1A88-EF4E6FD21807}"/>
                </a:ext>
              </a:extLst>
            </xdr:cNvPr>
            <xdr:cNvGrpSpPr/>
          </xdr:nvGrpSpPr>
          <xdr:grpSpPr>
            <a:xfrm>
              <a:off x="5306790" y="2136320"/>
              <a:ext cx="1211602" cy="379765"/>
              <a:chOff x="5269105" y="2136320"/>
              <a:chExt cx="1202508" cy="379765"/>
            </a:xfrm>
            <a:solidFill>
              <a:schemeClr val="bg1">
                <a:lumMod val="50000"/>
              </a:schemeClr>
            </a:solidFill>
          </xdr:grpSpPr>
          <xdr:sp macro="" textlink="">
            <xdr:nvSpPr>
              <xdr:cNvPr id="120" name="Rectangle: Rounded Corners 119">
                <a:extLst>
                  <a:ext uri="{FF2B5EF4-FFF2-40B4-BE49-F238E27FC236}">
                    <a16:creationId xmlns:a16="http://schemas.microsoft.com/office/drawing/2014/main" id="{2884BE69-593F-CA03-4036-6889BFEB5887}"/>
                  </a:ext>
                </a:extLst>
              </xdr:cNvPr>
              <xdr:cNvSpPr/>
            </xdr:nvSpPr>
            <xdr:spPr>
              <a:xfrm>
                <a:off x="5269105" y="2136320"/>
                <a:ext cx="1107412" cy="379765"/>
              </a:xfrm>
              <a:prstGeom prst="roundRect">
                <a:avLst>
                  <a:gd name="adj" fmla="val 50000"/>
                </a:avLst>
              </a:prstGeom>
              <a:solidFill>
                <a:schemeClr val="accent2">
                  <a:lumMod val="75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IOT TABLE'!AV17">
            <xdr:nvSpPr>
              <xdr:cNvPr id="121" name="TextBox 120">
                <a:extLst>
                  <a:ext uri="{FF2B5EF4-FFF2-40B4-BE49-F238E27FC236}">
                    <a16:creationId xmlns:a16="http://schemas.microsoft.com/office/drawing/2014/main" id="{B4D58D47-904F-8429-BCFC-68392C48E085}"/>
                  </a:ext>
                </a:extLst>
              </xdr:cNvPr>
              <xdr:cNvSpPr txBox="1"/>
            </xdr:nvSpPr>
            <xdr:spPr>
              <a:xfrm>
                <a:off x="5477592" y="2206900"/>
                <a:ext cx="994021" cy="223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757BD3-92EF-46FA-87E2-9E09C15A9906}" type="TxLink">
                  <a:rPr lang="en-US" sz="1100" b="0" i="0" u="none" strike="noStrike">
                    <a:solidFill>
                      <a:srgbClr val="000000"/>
                    </a:solidFill>
                    <a:latin typeface="Aptos Narrow"/>
                  </a:rPr>
                  <a:pPr/>
                  <a:t>Mid-level</a:t>
                </a:fld>
                <a:endParaRPr lang="en-US" sz="1100"/>
              </a:p>
            </xdr:txBody>
          </xdr:sp>
          <xdr:sp macro="" textlink="'PIVIOT TABLE'!AV12">
            <xdr:nvSpPr>
              <xdr:cNvPr id="122" name="TextBox 121">
                <a:extLst>
                  <a:ext uri="{FF2B5EF4-FFF2-40B4-BE49-F238E27FC236}">
                    <a16:creationId xmlns:a16="http://schemas.microsoft.com/office/drawing/2014/main" id="{F7010893-BBA8-7836-6C14-EBC287C2DEE1}"/>
                  </a:ext>
                </a:extLst>
              </xdr:cNvPr>
              <xdr:cNvSpPr txBox="1"/>
            </xdr:nvSpPr>
            <xdr:spPr>
              <a:xfrm>
                <a:off x="5375308" y="2169215"/>
                <a:ext cx="3033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t>
                </a:r>
              </a:p>
            </xdr:txBody>
          </xdr:sp>
        </xdr:grpSp>
        <xdr:sp macro="" textlink="'PIVIOT TABLE'!AU17">
          <xdr:nvSpPr>
            <xdr:cNvPr id="119" name="TextBox 118">
              <a:extLst>
                <a:ext uri="{FF2B5EF4-FFF2-40B4-BE49-F238E27FC236}">
                  <a16:creationId xmlns:a16="http://schemas.microsoft.com/office/drawing/2014/main" id="{94C7FFA1-4525-56C6-2FBF-05F05AD1C3D2}"/>
                </a:ext>
              </a:extLst>
            </xdr:cNvPr>
            <xdr:cNvSpPr txBox="1"/>
          </xdr:nvSpPr>
          <xdr:spPr>
            <a:xfrm>
              <a:off x="5532505" y="1956606"/>
              <a:ext cx="967882"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FC76BF-A999-4D38-953B-18F9E09E8D3D}" type="TxLink">
                <a:rPr lang="en-US" sz="800" b="1" i="0" u="none" strike="noStrike">
                  <a:solidFill>
                    <a:schemeClr val="bg2">
                      <a:lumMod val="50000"/>
                    </a:schemeClr>
                  </a:solidFill>
                  <a:latin typeface="Aptos Narrow"/>
                </a:rPr>
                <a:pPr/>
                <a:t>Position Level</a:t>
              </a:fld>
              <a:endParaRPr lang="en-US" sz="800" b="1">
                <a:solidFill>
                  <a:schemeClr val="bg2">
                    <a:lumMod val="50000"/>
                  </a:schemeClr>
                </a:solidFill>
              </a:endParaRPr>
            </a:p>
          </xdr:txBody>
        </xdr:sp>
      </xdr:grpSp>
      <xdr:grpSp>
        <xdr:nvGrpSpPr>
          <xdr:cNvPr id="123" name="Group 122">
            <a:extLst>
              <a:ext uri="{FF2B5EF4-FFF2-40B4-BE49-F238E27FC236}">
                <a16:creationId xmlns:a16="http://schemas.microsoft.com/office/drawing/2014/main" id="{95C55492-C9ED-4FCF-BB17-94415A9A9749}"/>
              </a:ext>
            </a:extLst>
          </xdr:cNvPr>
          <xdr:cNvGrpSpPr/>
        </xdr:nvGrpSpPr>
        <xdr:grpSpPr>
          <a:xfrm>
            <a:off x="10119759" y="1926670"/>
            <a:ext cx="1339552" cy="556757"/>
            <a:chOff x="5306786" y="1956606"/>
            <a:chExt cx="1352981" cy="556757"/>
          </a:xfrm>
        </xdr:grpSpPr>
        <xdr:grpSp>
          <xdr:nvGrpSpPr>
            <xdr:cNvPr id="124" name="Group 123">
              <a:extLst>
                <a:ext uri="{FF2B5EF4-FFF2-40B4-BE49-F238E27FC236}">
                  <a16:creationId xmlns:a16="http://schemas.microsoft.com/office/drawing/2014/main" id="{227ADF7C-7912-C387-4844-F5403CBBC3E6}"/>
                </a:ext>
              </a:extLst>
            </xdr:cNvPr>
            <xdr:cNvGrpSpPr/>
          </xdr:nvGrpSpPr>
          <xdr:grpSpPr>
            <a:xfrm>
              <a:off x="5306786" y="2136320"/>
              <a:ext cx="1115786" cy="377043"/>
              <a:chOff x="5269105" y="2136320"/>
              <a:chExt cx="1107412" cy="377043"/>
            </a:xfrm>
            <a:solidFill>
              <a:schemeClr val="bg1">
                <a:lumMod val="50000"/>
              </a:schemeClr>
            </a:solidFill>
          </xdr:grpSpPr>
          <xdr:sp macro="" textlink="">
            <xdr:nvSpPr>
              <xdr:cNvPr id="126" name="Rectangle: Rounded Corners 125">
                <a:extLst>
                  <a:ext uri="{FF2B5EF4-FFF2-40B4-BE49-F238E27FC236}">
                    <a16:creationId xmlns:a16="http://schemas.microsoft.com/office/drawing/2014/main" id="{F349DF2C-BB80-396F-9DCC-177C62788627}"/>
                  </a:ext>
                </a:extLst>
              </xdr:cNvPr>
              <xdr:cNvSpPr/>
            </xdr:nvSpPr>
            <xdr:spPr>
              <a:xfrm>
                <a:off x="5269105" y="2136320"/>
                <a:ext cx="1107412" cy="377043"/>
              </a:xfrm>
              <a:prstGeom prst="roundRect">
                <a:avLst>
                  <a:gd name="adj" fmla="val 50000"/>
                </a:avLst>
              </a:prstGeom>
              <a:solidFill>
                <a:schemeClr val="accent6">
                  <a:lumMod val="40000"/>
                  <a:lumOff val="6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IOT TABLE'!AV18">
            <xdr:nvSpPr>
              <xdr:cNvPr id="127" name="TextBox 126">
                <a:extLst>
                  <a:ext uri="{FF2B5EF4-FFF2-40B4-BE49-F238E27FC236}">
                    <a16:creationId xmlns:a16="http://schemas.microsoft.com/office/drawing/2014/main" id="{D55ED915-FB86-3095-1333-19C1F795E4C8}"/>
                  </a:ext>
                </a:extLst>
              </xdr:cNvPr>
              <xdr:cNvSpPr txBox="1"/>
            </xdr:nvSpPr>
            <xdr:spPr>
              <a:xfrm>
                <a:off x="5434024" y="2197376"/>
                <a:ext cx="940039" cy="223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6B7259-4A20-49D7-B332-581F9FF87CAF}" type="TxLink">
                  <a:rPr lang="en-US" sz="1100" b="0" i="0" u="none" strike="noStrike">
                    <a:solidFill>
                      <a:srgbClr val="000000"/>
                    </a:solidFill>
                    <a:latin typeface="Aptos Narrow"/>
                  </a:rPr>
                  <a:pPr/>
                  <a:t>Ali Charle</a:t>
                </a:fld>
                <a:endParaRPr lang="en-US" sz="1100"/>
              </a:p>
            </xdr:txBody>
          </xdr:sp>
          <xdr:sp macro="" textlink="'PIVIOT TABLE'!AV12">
            <xdr:nvSpPr>
              <xdr:cNvPr id="128" name="TextBox 127">
                <a:extLst>
                  <a:ext uri="{FF2B5EF4-FFF2-40B4-BE49-F238E27FC236}">
                    <a16:creationId xmlns:a16="http://schemas.microsoft.com/office/drawing/2014/main" id="{6F3245A8-A403-6216-D890-A8C420B71358}"/>
                  </a:ext>
                </a:extLst>
              </xdr:cNvPr>
              <xdr:cNvSpPr txBox="1"/>
            </xdr:nvSpPr>
            <xdr:spPr>
              <a:xfrm>
                <a:off x="5338704" y="2159691"/>
                <a:ext cx="3033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t>
                </a:r>
              </a:p>
            </xdr:txBody>
          </xdr:sp>
        </xdr:grpSp>
        <xdr:sp macro="" textlink="'PIVIOT TABLE'!AU18">
          <xdr:nvSpPr>
            <xdr:cNvPr id="125" name="TextBox 124">
              <a:extLst>
                <a:ext uri="{FF2B5EF4-FFF2-40B4-BE49-F238E27FC236}">
                  <a16:creationId xmlns:a16="http://schemas.microsoft.com/office/drawing/2014/main" id="{22E2EA20-D6AF-83CD-9ED0-52596E72A961}"/>
                </a:ext>
              </a:extLst>
            </xdr:cNvPr>
            <xdr:cNvSpPr txBox="1"/>
          </xdr:nvSpPr>
          <xdr:spPr>
            <a:xfrm>
              <a:off x="5510370" y="1956606"/>
              <a:ext cx="1149397"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267B252-3667-4D1E-A01F-401B3704CFEC}" type="TxLink">
                <a:rPr lang="en-US" sz="800" b="1" i="0" u="none" strike="noStrike">
                  <a:solidFill>
                    <a:schemeClr val="bg2">
                      <a:lumMod val="50000"/>
                    </a:schemeClr>
                  </a:solidFill>
                  <a:latin typeface="Aptos Narrow"/>
                </a:rPr>
                <a:pPr/>
                <a:t>Manager Name</a:t>
              </a:fld>
              <a:endParaRPr lang="en-US" sz="800" b="1">
                <a:solidFill>
                  <a:schemeClr val="bg2">
                    <a:lumMod val="50000"/>
                  </a:schemeClr>
                </a:solidFill>
              </a:endParaRPr>
            </a:p>
          </xdr:txBody>
        </xdr:sp>
      </xdr:grpSp>
      <xdr:grpSp>
        <xdr:nvGrpSpPr>
          <xdr:cNvPr id="129" name="Group 128">
            <a:extLst>
              <a:ext uri="{FF2B5EF4-FFF2-40B4-BE49-F238E27FC236}">
                <a16:creationId xmlns:a16="http://schemas.microsoft.com/office/drawing/2014/main" id="{16F7374C-CAD4-4DB6-8D66-8AFC6D58592B}"/>
              </a:ext>
            </a:extLst>
          </xdr:cNvPr>
          <xdr:cNvGrpSpPr/>
        </xdr:nvGrpSpPr>
        <xdr:grpSpPr>
          <a:xfrm>
            <a:off x="11361966" y="1923110"/>
            <a:ext cx="1210591" cy="569841"/>
            <a:chOff x="5306786" y="1963933"/>
            <a:chExt cx="1223115" cy="569841"/>
          </a:xfrm>
        </xdr:grpSpPr>
        <xdr:grpSp>
          <xdr:nvGrpSpPr>
            <xdr:cNvPr id="130" name="Group 129">
              <a:extLst>
                <a:ext uri="{FF2B5EF4-FFF2-40B4-BE49-F238E27FC236}">
                  <a16:creationId xmlns:a16="http://schemas.microsoft.com/office/drawing/2014/main" id="{37887EDA-541B-D8D2-2185-0774D7198817}"/>
                </a:ext>
              </a:extLst>
            </xdr:cNvPr>
            <xdr:cNvGrpSpPr/>
          </xdr:nvGrpSpPr>
          <xdr:grpSpPr>
            <a:xfrm>
              <a:off x="5306786" y="2136319"/>
              <a:ext cx="1115786" cy="397455"/>
              <a:chOff x="5269105" y="2136319"/>
              <a:chExt cx="1107412" cy="397455"/>
            </a:xfrm>
            <a:solidFill>
              <a:schemeClr val="bg1">
                <a:lumMod val="50000"/>
              </a:schemeClr>
            </a:solidFill>
          </xdr:grpSpPr>
          <xdr:sp macro="" textlink="">
            <xdr:nvSpPr>
              <xdr:cNvPr id="132" name="Rectangle: Rounded Corners 131">
                <a:extLst>
                  <a:ext uri="{FF2B5EF4-FFF2-40B4-BE49-F238E27FC236}">
                    <a16:creationId xmlns:a16="http://schemas.microsoft.com/office/drawing/2014/main" id="{411F5D29-F079-4572-F8AB-D91F81468B87}"/>
                  </a:ext>
                </a:extLst>
              </xdr:cNvPr>
              <xdr:cNvSpPr/>
            </xdr:nvSpPr>
            <xdr:spPr>
              <a:xfrm>
                <a:off x="5269105" y="2136319"/>
                <a:ext cx="1107412" cy="397455"/>
              </a:xfrm>
              <a:prstGeom prst="roundRect">
                <a:avLst>
                  <a:gd name="adj" fmla="val 50000"/>
                </a:avLst>
              </a:prstGeom>
              <a:solidFill>
                <a:srgbClr val="7030A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IOT TABLE'!AV19">
            <xdr:nvSpPr>
              <xdr:cNvPr id="133" name="TextBox 132">
                <a:extLst>
                  <a:ext uri="{FF2B5EF4-FFF2-40B4-BE49-F238E27FC236}">
                    <a16:creationId xmlns:a16="http://schemas.microsoft.com/office/drawing/2014/main" id="{BF785C59-1168-81CF-4512-AFCB8F7C079C}"/>
                  </a:ext>
                </a:extLst>
              </xdr:cNvPr>
              <xdr:cNvSpPr txBox="1"/>
            </xdr:nvSpPr>
            <xdr:spPr>
              <a:xfrm>
                <a:off x="5509985" y="2197376"/>
                <a:ext cx="807039" cy="223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AE06DF-3E9F-46D4-8BCC-F903E5B6FEB2}" type="TxLink">
                  <a:rPr lang="en-US" sz="1100" b="0" i="0" u="none" strike="noStrike">
                    <a:solidFill>
                      <a:srgbClr val="000000"/>
                    </a:solidFill>
                    <a:latin typeface="Aptos Narrow"/>
                  </a:rPr>
                  <a:pPr/>
                  <a:t>Egyptian</a:t>
                </a:fld>
                <a:endParaRPr lang="en-US" sz="1100"/>
              </a:p>
            </xdr:txBody>
          </xdr:sp>
          <xdr:sp macro="" textlink="'PIVIOT TABLE'!AV12">
            <xdr:nvSpPr>
              <xdr:cNvPr id="134" name="TextBox 133">
                <a:extLst>
                  <a:ext uri="{FF2B5EF4-FFF2-40B4-BE49-F238E27FC236}">
                    <a16:creationId xmlns:a16="http://schemas.microsoft.com/office/drawing/2014/main" id="{891EBF91-B729-257D-C622-8BC449C9A059}"/>
                  </a:ext>
                </a:extLst>
              </xdr:cNvPr>
              <xdr:cNvSpPr txBox="1"/>
            </xdr:nvSpPr>
            <xdr:spPr>
              <a:xfrm>
                <a:off x="5386174" y="2159691"/>
                <a:ext cx="3033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t>
                </a:r>
              </a:p>
            </xdr:txBody>
          </xdr:sp>
        </xdr:grpSp>
        <xdr:sp macro="" textlink="'PIVIOT TABLE'!AU19">
          <xdr:nvSpPr>
            <xdr:cNvPr id="131" name="TextBox 130">
              <a:extLst>
                <a:ext uri="{FF2B5EF4-FFF2-40B4-BE49-F238E27FC236}">
                  <a16:creationId xmlns:a16="http://schemas.microsoft.com/office/drawing/2014/main" id="{D4A7C6F3-28CD-47F5-D996-9F65075F4113}"/>
                </a:ext>
              </a:extLst>
            </xdr:cNvPr>
            <xdr:cNvSpPr txBox="1"/>
          </xdr:nvSpPr>
          <xdr:spPr>
            <a:xfrm>
              <a:off x="5562019" y="1963933"/>
              <a:ext cx="967882"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F74731-111D-4B7F-B7FE-3ECEE4C2F61B}" type="TxLink">
                <a:rPr lang="en-US" sz="800" b="1" i="0" u="none" strike="noStrike">
                  <a:solidFill>
                    <a:schemeClr val="bg2">
                      <a:lumMod val="50000"/>
                    </a:schemeClr>
                  </a:solidFill>
                  <a:latin typeface="Aptos Narrow"/>
                </a:rPr>
                <a:pPr/>
                <a:t>Nationality</a:t>
              </a:fld>
              <a:endParaRPr lang="en-US" sz="800" b="1">
                <a:solidFill>
                  <a:schemeClr val="bg2">
                    <a:lumMod val="50000"/>
                  </a:schemeClr>
                </a:solidFill>
              </a:endParaRPr>
            </a:p>
          </xdr:txBody>
        </xdr:sp>
      </xdr:grpSp>
    </xdr:grpSp>
    <xdr:clientData/>
  </xdr:twoCellAnchor>
  <xdr:twoCellAnchor>
    <xdr:from>
      <xdr:col>41</xdr:col>
      <xdr:colOff>36945</xdr:colOff>
      <xdr:row>26</xdr:row>
      <xdr:rowOff>26947</xdr:rowOff>
    </xdr:from>
    <xdr:to>
      <xdr:col>48</xdr:col>
      <xdr:colOff>334093</xdr:colOff>
      <xdr:row>40</xdr:row>
      <xdr:rowOff>103147</xdr:rowOff>
    </xdr:to>
    <xdr:graphicFrame macro="">
      <xdr:nvGraphicFramePr>
        <xdr:cNvPr id="136" name="Chart 135">
          <a:extLst>
            <a:ext uri="{FF2B5EF4-FFF2-40B4-BE49-F238E27FC236}">
              <a16:creationId xmlns:a16="http://schemas.microsoft.com/office/drawing/2014/main" id="{4D38F99B-0891-4139-8C09-A7D4622AB6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564370</xdr:colOff>
      <xdr:row>14</xdr:row>
      <xdr:rowOff>123848</xdr:rowOff>
    </xdr:from>
    <xdr:to>
      <xdr:col>17</xdr:col>
      <xdr:colOff>361281</xdr:colOff>
      <xdr:row>16</xdr:row>
      <xdr:rowOff>158484</xdr:rowOff>
    </xdr:to>
    <xdr:sp macro="" textlink="">
      <xdr:nvSpPr>
        <xdr:cNvPr id="137" name="TextBox 136">
          <a:extLst>
            <a:ext uri="{FF2B5EF4-FFF2-40B4-BE49-F238E27FC236}">
              <a16:creationId xmlns:a16="http://schemas.microsoft.com/office/drawing/2014/main" id="{BA2E6401-AFA5-D2D5-4FCB-A9F188DEC4A9}"/>
            </a:ext>
          </a:extLst>
        </xdr:cNvPr>
        <xdr:cNvSpPr txBox="1"/>
      </xdr:nvSpPr>
      <xdr:spPr>
        <a:xfrm>
          <a:off x="2382779" y="2790848"/>
          <a:ext cx="8421366" cy="415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THE WORK ATTENDANCE DASHBOARD FOR EMPLOYEES IN SECTOR B.</a:t>
          </a:r>
          <a:r>
            <a:rPr lang="en-US" sz="1600" b="1"/>
            <a:t> </a:t>
          </a:r>
          <a:r>
            <a:rPr lang="en-US" sz="900" b="1">
              <a:solidFill>
                <a:schemeClr val="bg1"/>
              </a:solidFill>
            </a:rPr>
            <a:t>2025</a:t>
          </a:r>
        </a:p>
      </xdr:txBody>
    </xdr:sp>
    <xdr:clientData/>
  </xdr:twoCellAnchor>
  <xdr:twoCellAnchor>
    <xdr:from>
      <xdr:col>15</xdr:col>
      <xdr:colOff>54428</xdr:colOff>
      <xdr:row>14</xdr:row>
      <xdr:rowOff>56033</xdr:rowOff>
    </xdr:from>
    <xdr:to>
      <xdr:col>20</xdr:col>
      <xdr:colOff>353786</xdr:colOff>
      <xdr:row>24</xdr:row>
      <xdr:rowOff>136076</xdr:rowOff>
    </xdr:to>
    <xdr:sp macro="" textlink="">
      <xdr:nvSpPr>
        <xdr:cNvPr id="143" name="Rectangle: Rounded Corners 142">
          <a:extLst>
            <a:ext uri="{FF2B5EF4-FFF2-40B4-BE49-F238E27FC236}">
              <a16:creationId xmlns:a16="http://schemas.microsoft.com/office/drawing/2014/main" id="{AEF7C3F1-3EE1-4C35-B244-A9E686641B5A}"/>
            </a:ext>
          </a:extLst>
        </xdr:cNvPr>
        <xdr:cNvSpPr/>
      </xdr:nvSpPr>
      <xdr:spPr>
        <a:xfrm rot="5400000">
          <a:off x="10063282" y="2035072"/>
          <a:ext cx="1985043" cy="3360965"/>
        </a:xfrm>
        <a:prstGeom prst="roundRect">
          <a:avLst>
            <a:gd name="adj" fmla="val 10094"/>
          </a:avLst>
        </a:prstGeom>
        <a:solidFill>
          <a:schemeClr val="tx1">
            <a:lumMod val="85000"/>
            <a:lumOff val="1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22</xdr:col>
      <xdr:colOff>5441</xdr:colOff>
      <xdr:row>29</xdr:row>
      <xdr:rowOff>68036</xdr:rowOff>
    </xdr:from>
    <xdr:to>
      <xdr:col>25</xdr:col>
      <xdr:colOff>356506</xdr:colOff>
      <xdr:row>32</xdr:row>
      <xdr:rowOff>95252</xdr:rowOff>
    </xdr:to>
    <xdr:sp macro="" textlink="">
      <xdr:nvSpPr>
        <xdr:cNvPr id="146" name="Rectangle: Rounded Corners 145">
          <a:extLst>
            <a:ext uri="{FF2B5EF4-FFF2-40B4-BE49-F238E27FC236}">
              <a16:creationId xmlns:a16="http://schemas.microsoft.com/office/drawing/2014/main" id="{0C36A432-518A-4D45-BDA4-3A64F6E05234}"/>
            </a:ext>
          </a:extLst>
        </xdr:cNvPr>
        <xdr:cNvSpPr/>
      </xdr:nvSpPr>
      <xdr:spPr>
        <a:xfrm>
          <a:off x="13612584" y="5592536"/>
          <a:ext cx="2188029" cy="598716"/>
        </a:xfrm>
        <a:prstGeom prst="roundRect">
          <a:avLst>
            <a:gd name="adj" fmla="val 16923"/>
          </a:avLst>
        </a:prstGeom>
        <a:solidFill>
          <a:schemeClr val="tx1">
            <a:lumMod val="85000"/>
            <a:lumOff val="1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85033</xdr:colOff>
      <xdr:row>25</xdr:row>
      <xdr:rowOff>49599</xdr:rowOff>
    </xdr:from>
    <xdr:to>
      <xdr:col>25</xdr:col>
      <xdr:colOff>430893</xdr:colOff>
      <xdr:row>40</xdr:row>
      <xdr:rowOff>146805</xdr:rowOff>
    </xdr:to>
    <xdr:grpSp>
      <xdr:nvGrpSpPr>
        <xdr:cNvPr id="169" name="Group 168">
          <a:extLst>
            <a:ext uri="{FF2B5EF4-FFF2-40B4-BE49-F238E27FC236}">
              <a16:creationId xmlns:a16="http://schemas.microsoft.com/office/drawing/2014/main" id="{EE6AF8E1-6A1E-97B0-B70B-BCFDD1FA3641}"/>
            </a:ext>
          </a:extLst>
        </xdr:cNvPr>
        <xdr:cNvGrpSpPr/>
      </xdr:nvGrpSpPr>
      <xdr:grpSpPr>
        <a:xfrm>
          <a:off x="9405926" y="4812099"/>
          <a:ext cx="6469074" cy="2954706"/>
          <a:chOff x="9433141" y="4798492"/>
          <a:chExt cx="6470633" cy="2954706"/>
        </a:xfrm>
      </xdr:grpSpPr>
      <xdr:sp macro="" textlink="">
        <xdr:nvSpPr>
          <xdr:cNvPr id="139" name="Rectangle: Rounded Corners 138">
            <a:extLst>
              <a:ext uri="{FF2B5EF4-FFF2-40B4-BE49-F238E27FC236}">
                <a16:creationId xmlns:a16="http://schemas.microsoft.com/office/drawing/2014/main" id="{4900A40B-9C7C-4C2B-9029-8752BBBD2C7F}"/>
              </a:ext>
            </a:extLst>
          </xdr:cNvPr>
          <xdr:cNvSpPr/>
        </xdr:nvSpPr>
        <xdr:spPr>
          <a:xfrm>
            <a:off x="9433141" y="4798492"/>
            <a:ext cx="6436179" cy="2954706"/>
          </a:xfrm>
          <a:prstGeom prst="roundRect">
            <a:avLst>
              <a:gd name="adj" fmla="val 7368"/>
            </a:avLst>
          </a:prstGeom>
          <a:solidFill>
            <a:schemeClr val="bg2">
              <a:lumMod val="25000"/>
            </a:schemeClr>
          </a:solidFill>
          <a:ln>
            <a:solidFill>
              <a:schemeClr val="tx2">
                <a:lumMod val="75000"/>
                <a:lumOff val="25000"/>
              </a:schemeClr>
            </a:solidFill>
          </a:ln>
          <a:effectLst>
            <a:glow rad="63500">
              <a:schemeClr val="accent1">
                <a:satMod val="175000"/>
                <a:alpha val="40000"/>
              </a:schemeClr>
            </a:glow>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mc:AlternateContent xmlns:mc="http://schemas.openxmlformats.org/markup-compatibility/2006" xmlns:a14="http://schemas.microsoft.com/office/drawing/2010/main">
        <mc:Choice Requires="a14">
          <xdr:graphicFrame macro="">
            <xdr:nvGraphicFramePr>
              <xdr:cNvPr id="78" name="Employee Name 2">
                <a:extLst>
                  <a:ext uri="{FF2B5EF4-FFF2-40B4-BE49-F238E27FC236}">
                    <a16:creationId xmlns:a16="http://schemas.microsoft.com/office/drawing/2014/main" id="{CA47F375-5D88-4DBC-981C-9A6AD84B60C9}"/>
                  </a:ext>
                </a:extLst>
              </xdr:cNvPr>
              <xdr:cNvGraphicFramePr/>
            </xdr:nvGraphicFramePr>
            <xdr:xfrm>
              <a:off x="9549739" y="4900324"/>
              <a:ext cx="3907726" cy="1295874"/>
            </xdr:xfrm>
            <a:graphic>
              <a:graphicData uri="http://schemas.microsoft.com/office/drawing/2010/slicer">
                <sle:slicer xmlns:sle="http://schemas.microsoft.com/office/drawing/2010/slicer" name="Employee Name 2"/>
              </a:graphicData>
            </a:graphic>
          </xdr:graphicFrame>
        </mc:Choice>
        <mc:Fallback xmlns="">
          <xdr:sp macro="" textlink="">
            <xdr:nvSpPr>
              <xdr:cNvPr id="0" name=""/>
              <xdr:cNvSpPr>
                <a:spLocks noTextEdit="1"/>
              </xdr:cNvSpPr>
            </xdr:nvSpPr>
            <xdr:spPr>
              <a:xfrm>
                <a:off x="9522496" y="4913931"/>
                <a:ext cx="3906784" cy="1295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tsle="http://schemas.microsoft.com/office/drawing/2012/timeslicer">
        <mc:Choice Requires="tsle">
          <xdr:graphicFrame macro="">
            <xdr:nvGraphicFramePr>
              <xdr:cNvPr id="144" name="Date 1">
                <a:extLst>
                  <a:ext uri="{FF2B5EF4-FFF2-40B4-BE49-F238E27FC236}">
                    <a16:creationId xmlns:a16="http://schemas.microsoft.com/office/drawing/2014/main" id="{2BB77411-B3F7-4B80-8473-3AFCDB5D0B95}"/>
                  </a:ext>
                </a:extLst>
              </xdr:cNvPr>
              <xdr:cNvGraphicFramePr/>
            </xdr:nvGraphicFramePr>
            <xdr:xfrm>
              <a:off x="9538608" y="6259287"/>
              <a:ext cx="6218464" cy="137160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9511368" y="6272894"/>
                <a:ext cx="6216966"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grpSp>
        <xdr:nvGrpSpPr>
          <xdr:cNvPr id="158" name="Group 157">
            <a:hlinkClick xmlns:r="http://schemas.openxmlformats.org/officeDocument/2006/relationships" r:id="rId2"/>
            <a:extLst>
              <a:ext uri="{FF2B5EF4-FFF2-40B4-BE49-F238E27FC236}">
                <a16:creationId xmlns:a16="http://schemas.microsoft.com/office/drawing/2014/main" id="{1148A4B1-6BD5-CF56-668A-B543A26A6292}"/>
              </a:ext>
            </a:extLst>
          </xdr:cNvPr>
          <xdr:cNvGrpSpPr/>
        </xdr:nvGrpSpPr>
        <xdr:grpSpPr>
          <a:xfrm>
            <a:off x="13516995" y="4883603"/>
            <a:ext cx="2288826" cy="623208"/>
            <a:chOff x="13516995" y="4883603"/>
            <a:chExt cx="2288826" cy="623208"/>
          </a:xfrm>
          <a:effectLst>
            <a:outerShdw blurRad="63500" sx="102000" sy="102000" algn="ctr" rotWithShape="0">
              <a:prstClr val="black">
                <a:alpha val="40000"/>
              </a:prstClr>
            </a:outerShdw>
          </a:effectLst>
        </xdr:grpSpPr>
        <xdr:sp macro="" textlink="">
          <xdr:nvSpPr>
            <xdr:cNvPr id="145" name="Rectangle: Rounded Corners 144">
              <a:extLst>
                <a:ext uri="{FF2B5EF4-FFF2-40B4-BE49-F238E27FC236}">
                  <a16:creationId xmlns:a16="http://schemas.microsoft.com/office/drawing/2014/main" id="{99DF1F22-1AFF-4BCC-9492-777EDD2F0940}"/>
                </a:ext>
              </a:extLst>
            </xdr:cNvPr>
            <xdr:cNvSpPr/>
          </xdr:nvSpPr>
          <xdr:spPr>
            <a:xfrm>
              <a:off x="13516995" y="4883603"/>
              <a:ext cx="2269691" cy="623208"/>
            </a:xfrm>
            <a:prstGeom prst="roundRect">
              <a:avLst>
                <a:gd name="adj" fmla="val 16923"/>
              </a:avLst>
            </a:prstGeom>
            <a:solidFill>
              <a:schemeClr val="tx1">
                <a:lumMod val="95000"/>
                <a:lumOff val="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9" name="Rectangle: Rounded Corners 148">
              <a:extLst>
                <a:ext uri="{FF2B5EF4-FFF2-40B4-BE49-F238E27FC236}">
                  <a16:creationId xmlns:a16="http://schemas.microsoft.com/office/drawing/2014/main" id="{43D81F26-FD32-4A4C-BB96-9BC789228761}"/>
                </a:ext>
              </a:extLst>
            </xdr:cNvPr>
            <xdr:cNvSpPr/>
          </xdr:nvSpPr>
          <xdr:spPr>
            <a:xfrm>
              <a:off x="13583626" y="4951637"/>
              <a:ext cx="576945" cy="487138"/>
            </a:xfrm>
            <a:prstGeom prst="roundRect">
              <a:avLst>
                <a:gd name="adj" fmla="val 16923"/>
              </a:avLst>
            </a:prstGeom>
            <a:solidFill>
              <a:schemeClr val="tx1">
                <a:lumMod val="85000"/>
                <a:lumOff val="1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148" name="Graphic 147" descr="Daily calendar with solid fill">
              <a:extLst>
                <a:ext uri="{FF2B5EF4-FFF2-40B4-BE49-F238E27FC236}">
                  <a16:creationId xmlns:a16="http://schemas.microsoft.com/office/drawing/2014/main" id="{B4D213FC-7A95-9305-677A-15A8BD350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670715" y="4993822"/>
              <a:ext cx="381000" cy="381000"/>
            </a:xfrm>
            <a:prstGeom prst="rect">
              <a:avLst/>
            </a:prstGeom>
          </xdr:spPr>
        </xdr:pic>
        <xdr:sp macro="" textlink="'PIVIOT TABLE'!AV14">
          <xdr:nvSpPr>
            <xdr:cNvPr id="150" name="TextBox 149">
              <a:extLst>
                <a:ext uri="{FF2B5EF4-FFF2-40B4-BE49-F238E27FC236}">
                  <a16:creationId xmlns:a16="http://schemas.microsoft.com/office/drawing/2014/main" id="{4749D594-2AE6-47B3-B3CC-EF6EF0EB1725}"/>
                </a:ext>
              </a:extLst>
            </xdr:cNvPr>
            <xdr:cNvSpPr txBox="1"/>
          </xdr:nvSpPr>
          <xdr:spPr>
            <a:xfrm>
              <a:off x="14189111" y="5015469"/>
              <a:ext cx="1616710" cy="4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a:solidFill>
                    <a:schemeClr val="bg1"/>
                  </a:solidFill>
                  <a:latin typeface="Aptos Narrow"/>
                  <a:ea typeface="+mn-ea"/>
                  <a:cs typeface="+mn-cs"/>
                </a:rPr>
                <a:t>Time</a:t>
              </a:r>
              <a:r>
                <a:rPr lang="en-US" sz="1600" b="1" i="0" u="none" strike="noStrike" baseline="0">
                  <a:solidFill>
                    <a:schemeClr val="bg1"/>
                  </a:solidFill>
                  <a:latin typeface="Aptos Narrow"/>
                  <a:ea typeface="+mn-ea"/>
                  <a:cs typeface="+mn-cs"/>
                </a:rPr>
                <a:t> Sheet          </a:t>
              </a:r>
              <a:r>
                <a:rPr lang="en-US" sz="1600" b="1" i="0" u="none" strike="noStrike" baseline="0">
                  <a:solidFill>
                    <a:schemeClr val="bg1">
                      <a:lumMod val="75000"/>
                    </a:schemeClr>
                  </a:solidFill>
                  <a:latin typeface="Aptos Narrow"/>
                  <a:ea typeface="+mn-ea"/>
                  <a:cs typeface="+mn-cs"/>
                </a:rPr>
                <a:t>&gt;</a:t>
              </a:r>
              <a:endParaRPr lang="en-US" sz="1600" b="1" i="0" u="none" strike="noStrike">
                <a:solidFill>
                  <a:schemeClr val="bg1">
                    <a:lumMod val="75000"/>
                  </a:schemeClr>
                </a:solidFill>
                <a:latin typeface="Aptos Narrow"/>
                <a:ea typeface="+mn-ea"/>
                <a:cs typeface="+mn-cs"/>
              </a:endParaRPr>
            </a:p>
          </xdr:txBody>
        </xdr:sp>
      </xdr:grpSp>
      <xdr:grpSp>
        <xdr:nvGrpSpPr>
          <xdr:cNvPr id="159" name="Group 158">
            <a:hlinkClick xmlns:r="http://schemas.openxmlformats.org/officeDocument/2006/relationships" r:id="rId5"/>
            <a:extLst>
              <a:ext uri="{FF2B5EF4-FFF2-40B4-BE49-F238E27FC236}">
                <a16:creationId xmlns:a16="http://schemas.microsoft.com/office/drawing/2014/main" id="{F5ADDDA8-737A-2E54-8CAB-CF26A7AFB820}"/>
              </a:ext>
            </a:extLst>
          </xdr:cNvPr>
          <xdr:cNvGrpSpPr/>
        </xdr:nvGrpSpPr>
        <xdr:grpSpPr>
          <a:xfrm>
            <a:off x="13526476" y="5583011"/>
            <a:ext cx="2377298" cy="623208"/>
            <a:chOff x="13526476" y="5583011"/>
            <a:chExt cx="2377298" cy="623208"/>
          </a:xfrm>
          <a:effectLst>
            <a:outerShdw blurRad="50800" dist="38100" dir="16200000" rotWithShape="0">
              <a:prstClr val="black">
                <a:alpha val="40000"/>
              </a:prstClr>
            </a:outerShdw>
          </a:effectLst>
        </xdr:grpSpPr>
        <xdr:sp macro="" textlink="">
          <xdr:nvSpPr>
            <xdr:cNvPr id="153" name="Rectangle: Rounded Corners 152">
              <a:extLst>
                <a:ext uri="{FF2B5EF4-FFF2-40B4-BE49-F238E27FC236}">
                  <a16:creationId xmlns:a16="http://schemas.microsoft.com/office/drawing/2014/main" id="{4B6647DD-D8F2-4F28-B0FF-E85F7AB72340}"/>
                </a:ext>
              </a:extLst>
            </xdr:cNvPr>
            <xdr:cNvSpPr/>
          </xdr:nvSpPr>
          <xdr:spPr>
            <a:xfrm>
              <a:off x="13526476" y="5583011"/>
              <a:ext cx="2250642" cy="623208"/>
            </a:xfrm>
            <a:prstGeom prst="roundRect">
              <a:avLst>
                <a:gd name="adj" fmla="val 16923"/>
              </a:avLst>
            </a:prstGeom>
            <a:solidFill>
              <a:schemeClr val="tx1">
                <a:lumMod val="95000"/>
                <a:lumOff val="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54" name="Rectangle: Rounded Corners 153">
              <a:extLst>
                <a:ext uri="{FF2B5EF4-FFF2-40B4-BE49-F238E27FC236}">
                  <a16:creationId xmlns:a16="http://schemas.microsoft.com/office/drawing/2014/main" id="{19F4B1E5-378A-47FE-B6F8-6934EF3A49B0}"/>
                </a:ext>
              </a:extLst>
            </xdr:cNvPr>
            <xdr:cNvSpPr/>
          </xdr:nvSpPr>
          <xdr:spPr>
            <a:xfrm>
              <a:off x="13597401" y="5666013"/>
              <a:ext cx="590553" cy="487137"/>
            </a:xfrm>
            <a:prstGeom prst="roundRect">
              <a:avLst>
                <a:gd name="adj" fmla="val 16923"/>
              </a:avLst>
            </a:prstGeom>
            <a:solidFill>
              <a:schemeClr val="tx1">
                <a:lumMod val="85000"/>
                <a:lumOff val="1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PIVIOT TABLE'!AV14">
          <xdr:nvSpPr>
            <xdr:cNvPr id="155" name="TextBox 154">
              <a:extLst>
                <a:ext uri="{FF2B5EF4-FFF2-40B4-BE49-F238E27FC236}">
                  <a16:creationId xmlns:a16="http://schemas.microsoft.com/office/drawing/2014/main" id="{A4F071A3-43D2-4EEF-A3AA-79C1C2DB1E15}"/>
                </a:ext>
              </a:extLst>
            </xdr:cNvPr>
            <xdr:cNvSpPr txBox="1"/>
          </xdr:nvSpPr>
          <xdr:spPr>
            <a:xfrm>
              <a:off x="14171212" y="5743451"/>
              <a:ext cx="1732562" cy="4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baseline="0">
                  <a:solidFill>
                    <a:schemeClr val="bg1"/>
                  </a:solidFill>
                  <a:latin typeface="Aptos Narrow"/>
                  <a:ea typeface="+mn-ea"/>
                  <a:cs typeface="+mn-cs"/>
                </a:rPr>
                <a:t>Employees Info  </a:t>
              </a:r>
              <a:r>
                <a:rPr lang="en-US" sz="1600" b="1" i="0" u="none" strike="noStrike" baseline="0">
                  <a:solidFill>
                    <a:schemeClr val="bg1">
                      <a:lumMod val="75000"/>
                    </a:schemeClr>
                  </a:solidFill>
                  <a:latin typeface="Aptos Narrow"/>
                  <a:ea typeface="+mn-ea"/>
                  <a:cs typeface="+mn-cs"/>
                </a:rPr>
                <a:t>&gt;</a:t>
              </a:r>
              <a:endParaRPr lang="en-US" sz="1600" b="1" i="0" u="none" strike="noStrike">
                <a:solidFill>
                  <a:schemeClr val="bg1">
                    <a:lumMod val="75000"/>
                  </a:schemeClr>
                </a:solidFill>
                <a:latin typeface="Aptos Narrow"/>
                <a:ea typeface="+mn-ea"/>
                <a:cs typeface="+mn-cs"/>
              </a:endParaRPr>
            </a:p>
          </xdr:txBody>
        </xdr:sp>
        <xdr:pic>
          <xdr:nvPicPr>
            <xdr:cNvPr id="157" name="Graphic 156" descr="Magnifying glass with solid fill">
              <a:extLst>
                <a:ext uri="{FF2B5EF4-FFF2-40B4-BE49-F238E27FC236}">
                  <a16:creationId xmlns:a16="http://schemas.microsoft.com/office/drawing/2014/main" id="{FB8A0CE3-44D9-FEFA-E158-C24A985F85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3695377" y="5728608"/>
              <a:ext cx="408213" cy="388299"/>
            </a:xfrm>
            <a:prstGeom prst="rect">
              <a:avLst/>
            </a:prstGeom>
          </xdr:spPr>
        </xdr:pic>
      </xdr:grpSp>
    </xdr:grpSp>
    <xdr:clientData/>
  </xdr:twoCellAnchor>
  <xdr:twoCellAnchor>
    <xdr:from>
      <xdr:col>4</xdr:col>
      <xdr:colOff>42194</xdr:colOff>
      <xdr:row>23</xdr:row>
      <xdr:rowOff>13606</xdr:rowOff>
    </xdr:from>
    <xdr:to>
      <xdr:col>8</xdr:col>
      <xdr:colOff>149678</xdr:colOff>
      <xdr:row>29</xdr:row>
      <xdr:rowOff>102119</xdr:rowOff>
    </xdr:to>
    <xdr:sp macro="" textlink="">
      <xdr:nvSpPr>
        <xdr:cNvPr id="162" name="Rectangle: Rounded Corners 161">
          <a:extLst>
            <a:ext uri="{FF2B5EF4-FFF2-40B4-BE49-F238E27FC236}">
              <a16:creationId xmlns:a16="http://schemas.microsoft.com/office/drawing/2014/main" id="{34C44147-A300-494F-8685-32929B0C30F3}"/>
            </a:ext>
          </a:extLst>
        </xdr:cNvPr>
        <xdr:cNvSpPr/>
      </xdr:nvSpPr>
      <xdr:spPr>
        <a:xfrm>
          <a:off x="2491480" y="4395106"/>
          <a:ext cx="2692841" cy="1231513"/>
        </a:xfrm>
        <a:prstGeom prst="roundRect">
          <a:avLst>
            <a:gd name="adj" fmla="val 13409"/>
          </a:avLst>
        </a:prstGeom>
        <a:solidFill>
          <a:srgbClr val="032B1D"/>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299356</xdr:colOff>
      <xdr:row>23</xdr:row>
      <xdr:rowOff>29935</xdr:rowOff>
    </xdr:from>
    <xdr:to>
      <xdr:col>10</xdr:col>
      <xdr:colOff>438148</xdr:colOff>
      <xdr:row>29</xdr:row>
      <xdr:rowOff>118448</xdr:rowOff>
    </xdr:to>
    <xdr:sp macro="" textlink="">
      <xdr:nvSpPr>
        <xdr:cNvPr id="163" name="Rectangle: Rounded Corners 162">
          <a:extLst>
            <a:ext uri="{FF2B5EF4-FFF2-40B4-BE49-F238E27FC236}">
              <a16:creationId xmlns:a16="http://schemas.microsoft.com/office/drawing/2014/main" id="{18712519-97C7-45E9-A696-B80E37E685FA}"/>
            </a:ext>
          </a:extLst>
        </xdr:cNvPr>
        <xdr:cNvSpPr/>
      </xdr:nvSpPr>
      <xdr:spPr>
        <a:xfrm>
          <a:off x="5333999" y="4411435"/>
          <a:ext cx="1363435" cy="1231513"/>
        </a:xfrm>
        <a:prstGeom prst="roundRect">
          <a:avLst>
            <a:gd name="adj" fmla="val 16723"/>
          </a:avLst>
        </a:prstGeom>
        <a:solidFill>
          <a:schemeClr val="bg2">
            <a:lumMod val="2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42</xdr:col>
      <xdr:colOff>572949</xdr:colOff>
      <xdr:row>5</xdr:row>
      <xdr:rowOff>9379</xdr:rowOff>
    </xdr:from>
    <xdr:to>
      <xdr:col>46</xdr:col>
      <xdr:colOff>110218</xdr:colOff>
      <xdr:row>12</xdr:row>
      <xdr:rowOff>14830</xdr:rowOff>
    </xdr:to>
    <xdr:grpSp>
      <xdr:nvGrpSpPr>
        <xdr:cNvPr id="32" name="Group 31">
          <a:extLst>
            <a:ext uri="{FF2B5EF4-FFF2-40B4-BE49-F238E27FC236}">
              <a16:creationId xmlns:a16="http://schemas.microsoft.com/office/drawing/2014/main" id="{46D13819-EA57-7236-4A1D-A5D02B98E0A3}"/>
            </a:ext>
          </a:extLst>
        </xdr:cNvPr>
        <xdr:cNvGrpSpPr/>
      </xdr:nvGrpSpPr>
      <xdr:grpSpPr>
        <a:xfrm>
          <a:off x="26426520" y="961879"/>
          <a:ext cx="1986555" cy="1338951"/>
          <a:chOff x="8448732" y="385278"/>
          <a:chExt cx="1984415" cy="1338951"/>
        </a:xfrm>
      </xdr:grpSpPr>
      <xdr:sp macro="" textlink="'PIVIOT TABLE'!AF9">
        <xdr:nvSpPr>
          <xdr:cNvPr id="27" name="TextBox 26">
            <a:extLst>
              <a:ext uri="{FF2B5EF4-FFF2-40B4-BE49-F238E27FC236}">
                <a16:creationId xmlns:a16="http://schemas.microsoft.com/office/drawing/2014/main" id="{96E83A03-30CA-6A99-8FB7-31F077CBFB41}"/>
              </a:ext>
            </a:extLst>
          </xdr:cNvPr>
          <xdr:cNvSpPr txBox="1"/>
        </xdr:nvSpPr>
        <xdr:spPr>
          <a:xfrm>
            <a:off x="8448732" y="385278"/>
            <a:ext cx="1984415" cy="395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20B47C-A4AC-4947-9F7D-D25D4F1B6E35}" type="TxLink">
              <a:rPr lang="en-US" sz="1100" b="0" i="0" u="none" strike="noStrike">
                <a:solidFill>
                  <a:schemeClr val="bg1">
                    <a:lumMod val="85000"/>
                  </a:schemeClr>
                </a:solidFill>
                <a:latin typeface="Aptos Narrow"/>
              </a:rPr>
              <a:pPr algn="ctr"/>
              <a:t>Needs Manager Approval </a:t>
            </a:fld>
            <a:endParaRPr lang="en-US" sz="1100" b="1">
              <a:solidFill>
                <a:schemeClr val="bg1">
                  <a:lumMod val="85000"/>
                </a:schemeClr>
              </a:solidFill>
            </a:endParaRPr>
          </a:p>
        </xdr:txBody>
      </xdr:sp>
      <xdr:sp macro="" textlink="'PIVIOT TABLE'!AF10">
        <xdr:nvSpPr>
          <xdr:cNvPr id="28" name="TextBox 27">
            <a:extLst>
              <a:ext uri="{FF2B5EF4-FFF2-40B4-BE49-F238E27FC236}">
                <a16:creationId xmlns:a16="http://schemas.microsoft.com/office/drawing/2014/main" id="{5B861AC2-8CB5-2484-4880-E8FAA75953D9}"/>
              </a:ext>
            </a:extLst>
          </xdr:cNvPr>
          <xdr:cNvSpPr txBox="1"/>
        </xdr:nvSpPr>
        <xdr:spPr>
          <a:xfrm>
            <a:off x="8449570" y="874499"/>
            <a:ext cx="1964469"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78040D-B4AF-4DC6-A146-4C1AFF75AE36}" type="TxLink">
              <a:rPr lang="en-US" sz="1100" b="0" i="0" u="none" strike="noStrike">
                <a:solidFill>
                  <a:schemeClr val="bg1">
                    <a:lumMod val="85000"/>
                  </a:schemeClr>
                </a:solidFill>
                <a:latin typeface="Aptos Narrow"/>
              </a:rPr>
              <a:pPr algn="ctr"/>
              <a:t> </a:t>
            </a:fld>
            <a:endParaRPr lang="en-US" sz="1100">
              <a:solidFill>
                <a:schemeClr val="bg1">
                  <a:lumMod val="85000"/>
                </a:schemeClr>
              </a:solidFill>
            </a:endParaRPr>
          </a:p>
        </xdr:txBody>
      </xdr:sp>
      <xdr:sp macro="" textlink="'PIVIOT TABLE'!AF11">
        <xdr:nvSpPr>
          <xdr:cNvPr id="30" name="TextBox 29">
            <a:extLst>
              <a:ext uri="{FF2B5EF4-FFF2-40B4-BE49-F238E27FC236}">
                <a16:creationId xmlns:a16="http://schemas.microsoft.com/office/drawing/2014/main" id="{2E683AB3-B993-4EE9-8328-E2455E73CD4D}"/>
              </a:ext>
            </a:extLst>
          </xdr:cNvPr>
          <xdr:cNvSpPr txBox="1"/>
        </xdr:nvSpPr>
        <xdr:spPr>
          <a:xfrm>
            <a:off x="8459095" y="1341224"/>
            <a:ext cx="1974050"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7C2CBAC-510D-4B8C-8489-C0112E07A98F}" type="TxLink">
              <a:rPr lang="en-US" sz="1100" b="0" i="0" u="none" strike="noStrike">
                <a:solidFill>
                  <a:schemeClr val="bg1">
                    <a:lumMod val="85000"/>
                  </a:schemeClr>
                </a:solidFill>
                <a:latin typeface="Aptos Narrow"/>
              </a:rPr>
              <a:pPr algn="ctr"/>
              <a:t> </a:t>
            </a:fld>
            <a:endParaRPr lang="en-US" sz="1100">
              <a:solidFill>
                <a:schemeClr val="bg1">
                  <a:lumMod val="85000"/>
                </a:schemeClr>
              </a:solidFill>
            </a:endParaRPr>
          </a:p>
        </xdr:txBody>
      </xdr:sp>
    </xdr:grpSp>
    <xdr:clientData/>
  </xdr:twoCellAnchor>
  <xdr:twoCellAnchor>
    <xdr:from>
      <xdr:col>20</xdr:col>
      <xdr:colOff>362350</xdr:colOff>
      <xdr:row>5</xdr:row>
      <xdr:rowOff>11206</xdr:rowOff>
    </xdr:from>
    <xdr:to>
      <xdr:col>26</xdr:col>
      <xdr:colOff>158243</xdr:colOff>
      <xdr:row>24</xdr:row>
      <xdr:rowOff>130635</xdr:rowOff>
    </xdr:to>
    <xdr:graphicFrame macro="">
      <xdr:nvGraphicFramePr>
        <xdr:cNvPr id="2" name="Chart 1">
          <a:extLst>
            <a:ext uri="{FF2B5EF4-FFF2-40B4-BE49-F238E27FC236}">
              <a16:creationId xmlns:a16="http://schemas.microsoft.com/office/drawing/2014/main" id="{07F68D9D-58CE-439F-8411-6987131378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464882</xdr:colOff>
      <xdr:row>23</xdr:row>
      <xdr:rowOff>49090</xdr:rowOff>
    </xdr:from>
    <xdr:to>
      <xdr:col>22</xdr:col>
      <xdr:colOff>295274</xdr:colOff>
      <xdr:row>24</xdr:row>
      <xdr:rowOff>109506</xdr:rowOff>
    </xdr:to>
    <xdr:sp macro="" textlink="">
      <xdr:nvSpPr>
        <xdr:cNvPr id="23" name="Rectangle: Rounded Corners 22">
          <a:extLst>
            <a:ext uri="{FF2B5EF4-FFF2-40B4-BE49-F238E27FC236}">
              <a16:creationId xmlns:a16="http://schemas.microsoft.com/office/drawing/2014/main" id="{659D9C92-2C2D-4A4C-9402-89BAF98C3D32}"/>
            </a:ext>
          </a:extLst>
        </xdr:cNvPr>
        <xdr:cNvSpPr/>
      </xdr:nvSpPr>
      <xdr:spPr>
        <a:xfrm>
          <a:off x="12790232" y="4430590"/>
          <a:ext cx="1049592" cy="250916"/>
        </a:xfrm>
        <a:prstGeom prst="roundRect">
          <a:avLst>
            <a:gd name="adj" fmla="val 30720"/>
          </a:avLst>
        </a:prstGeom>
        <a:solidFill>
          <a:srgbClr val="032B1D"/>
        </a:solidFill>
        <a:ln>
          <a:solidFill>
            <a:srgbClr val="032B1D"/>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20</xdr:col>
      <xdr:colOff>450433</xdr:colOff>
      <xdr:row>5</xdr:row>
      <xdr:rowOff>7073</xdr:rowOff>
    </xdr:from>
    <xdr:to>
      <xdr:col>23</xdr:col>
      <xdr:colOff>439819</xdr:colOff>
      <xdr:row>7</xdr:row>
      <xdr:rowOff>41710</xdr:rowOff>
    </xdr:to>
    <xdr:sp macro="" textlink="">
      <xdr:nvSpPr>
        <xdr:cNvPr id="24" name="Rectangle: Rounded Corners 23">
          <a:extLst>
            <a:ext uri="{FF2B5EF4-FFF2-40B4-BE49-F238E27FC236}">
              <a16:creationId xmlns:a16="http://schemas.microsoft.com/office/drawing/2014/main" id="{DE023BAA-7A7B-4602-93CD-0D279C2A1A4A}"/>
            </a:ext>
          </a:extLst>
        </xdr:cNvPr>
        <xdr:cNvSpPr/>
      </xdr:nvSpPr>
      <xdr:spPr>
        <a:xfrm>
          <a:off x="12832933" y="959573"/>
          <a:ext cx="1826350" cy="415637"/>
        </a:xfrm>
        <a:prstGeom prst="roundRect">
          <a:avLst>
            <a:gd name="adj" fmla="val 30720"/>
          </a:avLst>
        </a:prstGeom>
        <a:solidFill>
          <a:srgbClr val="032B1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102704</xdr:colOff>
      <xdr:row>30</xdr:row>
      <xdr:rowOff>97735</xdr:rowOff>
    </xdr:from>
    <xdr:to>
      <xdr:col>4</xdr:col>
      <xdr:colOff>513523</xdr:colOff>
      <xdr:row>32</xdr:row>
      <xdr:rowOff>105900</xdr:rowOff>
    </xdr:to>
    <xdr:sp macro="" textlink="">
      <xdr:nvSpPr>
        <xdr:cNvPr id="88" name="Rectangle: Rounded Corners 87">
          <a:extLst>
            <a:ext uri="{FF2B5EF4-FFF2-40B4-BE49-F238E27FC236}">
              <a16:creationId xmlns:a16="http://schemas.microsoft.com/office/drawing/2014/main" id="{2DEB6D44-F99B-4C9F-89B6-B3299F3BDE3C}"/>
            </a:ext>
          </a:extLst>
        </xdr:cNvPr>
        <xdr:cNvSpPr/>
      </xdr:nvSpPr>
      <xdr:spPr>
        <a:xfrm>
          <a:off x="2551990" y="5812735"/>
          <a:ext cx="410819" cy="389165"/>
        </a:xfrm>
        <a:prstGeom prst="roundRect">
          <a:avLst>
            <a:gd name="adj" fmla="val 16723"/>
          </a:avLst>
        </a:prstGeom>
        <a:solidFill>
          <a:schemeClr val="bg2">
            <a:lumMod val="2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246529</xdr:colOff>
      <xdr:row>23</xdr:row>
      <xdr:rowOff>11206</xdr:rowOff>
    </xdr:from>
    <xdr:to>
      <xdr:col>10</xdr:col>
      <xdr:colOff>425825</xdr:colOff>
      <xdr:row>29</xdr:row>
      <xdr:rowOff>112060</xdr:rowOff>
    </xdr:to>
    <xdr:sp macro="" textlink="">
      <xdr:nvSpPr>
        <xdr:cNvPr id="87" name="Rectangle: Rounded Corners 86">
          <a:extLst>
            <a:ext uri="{FF2B5EF4-FFF2-40B4-BE49-F238E27FC236}">
              <a16:creationId xmlns:a16="http://schemas.microsoft.com/office/drawing/2014/main" id="{ACD4E275-B315-436C-8E84-3E8A709688E7}"/>
            </a:ext>
          </a:extLst>
        </xdr:cNvPr>
        <xdr:cNvSpPr/>
      </xdr:nvSpPr>
      <xdr:spPr>
        <a:xfrm>
          <a:off x="5282355" y="4392706"/>
          <a:ext cx="1405122" cy="1243854"/>
        </a:xfrm>
        <a:prstGeom prst="roundRect">
          <a:avLst>
            <a:gd name="adj" fmla="val 16723"/>
          </a:avLst>
        </a:prstGeom>
        <a:solidFill>
          <a:srgbClr val="032B1D">
            <a:alpha val="94118"/>
          </a:srgb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17819</xdr:colOff>
      <xdr:row>30</xdr:row>
      <xdr:rowOff>1598</xdr:rowOff>
    </xdr:from>
    <xdr:to>
      <xdr:col>10</xdr:col>
      <xdr:colOff>416496</xdr:colOff>
      <xdr:row>40</xdr:row>
      <xdr:rowOff>179918</xdr:rowOff>
    </xdr:to>
    <xdr:grpSp>
      <xdr:nvGrpSpPr>
        <xdr:cNvPr id="171" name="Group 170">
          <a:extLst>
            <a:ext uri="{FF2B5EF4-FFF2-40B4-BE49-F238E27FC236}">
              <a16:creationId xmlns:a16="http://schemas.microsoft.com/office/drawing/2014/main" id="{A9BFFE94-3E7F-6C95-DDEA-04179E33BE24}"/>
            </a:ext>
          </a:extLst>
        </xdr:cNvPr>
        <xdr:cNvGrpSpPr/>
      </xdr:nvGrpSpPr>
      <xdr:grpSpPr>
        <a:xfrm>
          <a:off x="2467105" y="5716598"/>
          <a:ext cx="4208677" cy="2083320"/>
          <a:chOff x="2467105" y="5716598"/>
          <a:chExt cx="4208677" cy="2083320"/>
        </a:xfrm>
      </xdr:grpSpPr>
      <xdr:sp macro="" textlink="">
        <xdr:nvSpPr>
          <xdr:cNvPr id="140" name="Rectangle: Rounded Corners 139">
            <a:extLst>
              <a:ext uri="{FF2B5EF4-FFF2-40B4-BE49-F238E27FC236}">
                <a16:creationId xmlns:a16="http://schemas.microsoft.com/office/drawing/2014/main" id="{E325C9FD-E418-404E-ADC5-5A575C2952D0}"/>
              </a:ext>
            </a:extLst>
          </xdr:cNvPr>
          <xdr:cNvSpPr/>
        </xdr:nvSpPr>
        <xdr:spPr>
          <a:xfrm>
            <a:off x="2467105" y="5716598"/>
            <a:ext cx="4208677" cy="2083320"/>
          </a:xfrm>
          <a:prstGeom prst="roundRect">
            <a:avLst>
              <a:gd name="adj" fmla="val 10094"/>
            </a:avLst>
          </a:prstGeom>
          <a:solidFill>
            <a:schemeClr val="bg2">
              <a:lumMod val="2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xnSp macro="">
        <xdr:nvCxnSpPr>
          <xdr:cNvPr id="29" name="Straight Connector 28">
            <a:extLst>
              <a:ext uri="{FF2B5EF4-FFF2-40B4-BE49-F238E27FC236}">
                <a16:creationId xmlns:a16="http://schemas.microsoft.com/office/drawing/2014/main" id="{C76738CF-BE44-121A-B3B0-DED998F4183D}"/>
              </a:ext>
            </a:extLst>
          </xdr:cNvPr>
          <xdr:cNvCxnSpPr/>
        </xdr:nvCxnSpPr>
        <xdr:spPr>
          <a:xfrm>
            <a:off x="2568234" y="6310931"/>
            <a:ext cx="3947813" cy="417"/>
          </a:xfrm>
          <a:prstGeom prst="line">
            <a:avLst/>
          </a:prstGeom>
          <a:ln w="28575">
            <a:solidFill>
              <a:schemeClr val="bg2">
                <a:lumMod val="10000"/>
              </a:schemeClr>
            </a:solidFill>
          </a:ln>
        </xdr:spPr>
        <xdr:style>
          <a:lnRef idx="2">
            <a:schemeClr val="accent1"/>
          </a:lnRef>
          <a:fillRef idx="0">
            <a:schemeClr val="accent1"/>
          </a:fillRef>
          <a:effectRef idx="1">
            <a:schemeClr val="accent1"/>
          </a:effectRef>
          <a:fontRef idx="minor">
            <a:schemeClr val="tx1"/>
          </a:fontRef>
        </xdr:style>
      </xdr:cxnSp>
      <xdr:sp macro="" textlink="">
        <xdr:nvSpPr>
          <xdr:cNvPr id="77" name="TextBox 76">
            <a:extLst>
              <a:ext uri="{FF2B5EF4-FFF2-40B4-BE49-F238E27FC236}">
                <a16:creationId xmlns:a16="http://schemas.microsoft.com/office/drawing/2014/main" id="{5FD91858-34E7-2379-A421-EC64A351D1E1}"/>
              </a:ext>
            </a:extLst>
          </xdr:cNvPr>
          <xdr:cNvSpPr txBox="1"/>
        </xdr:nvSpPr>
        <xdr:spPr>
          <a:xfrm>
            <a:off x="2979373" y="5855805"/>
            <a:ext cx="3561522" cy="447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ln>
                  <a:noFill/>
                </a:ln>
                <a:solidFill>
                  <a:schemeClr val="bg1">
                    <a:lumMod val="75000"/>
                  </a:schemeClr>
                </a:solidFill>
              </a:rPr>
              <a:t>What are the mandatory working hours and holidays that must be observed?   </a:t>
            </a:r>
          </a:p>
        </xdr:txBody>
      </xdr:sp>
      <xdr:pic>
        <xdr:nvPicPr>
          <xdr:cNvPr id="86" name="Graphic 85" descr="Pin with solid fill">
            <a:extLst>
              <a:ext uri="{FF2B5EF4-FFF2-40B4-BE49-F238E27FC236}">
                <a16:creationId xmlns:a16="http://schemas.microsoft.com/office/drawing/2014/main" id="{345CD049-CC24-EF82-AAA2-C7EDE591A75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579686" y="5823157"/>
            <a:ext cx="362176" cy="362176"/>
          </a:xfrm>
          <a:prstGeom prst="rect">
            <a:avLst/>
          </a:prstGeom>
        </xdr:spPr>
      </xdr:pic>
      <xdr:grpSp>
        <xdr:nvGrpSpPr>
          <xdr:cNvPr id="91" name="Group 90">
            <a:extLst>
              <a:ext uri="{FF2B5EF4-FFF2-40B4-BE49-F238E27FC236}">
                <a16:creationId xmlns:a16="http://schemas.microsoft.com/office/drawing/2014/main" id="{D6D1B61A-BB76-99F2-E9A2-AEA81AE8945E}"/>
              </a:ext>
            </a:extLst>
          </xdr:cNvPr>
          <xdr:cNvGrpSpPr/>
        </xdr:nvGrpSpPr>
        <xdr:grpSpPr>
          <a:xfrm>
            <a:off x="2614970" y="6454105"/>
            <a:ext cx="871182" cy="515474"/>
            <a:chOff x="2604084" y="6454105"/>
            <a:chExt cx="868461" cy="515474"/>
          </a:xfrm>
        </xdr:grpSpPr>
        <xdr:sp macro="" textlink="'PIVIOT TABLE'!N3">
          <xdr:nvSpPr>
            <xdr:cNvPr id="89" name="TextBox 88">
              <a:extLst>
                <a:ext uri="{FF2B5EF4-FFF2-40B4-BE49-F238E27FC236}">
                  <a16:creationId xmlns:a16="http://schemas.microsoft.com/office/drawing/2014/main" id="{05661B4C-75F0-4AF5-BD41-522F4A003CFB}"/>
                </a:ext>
              </a:extLst>
            </xdr:cNvPr>
            <xdr:cNvSpPr txBox="1"/>
          </xdr:nvSpPr>
          <xdr:spPr>
            <a:xfrm>
              <a:off x="2604084" y="6454105"/>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accent2">
                      <a:lumMod val="20000"/>
                      <a:lumOff val="80000"/>
                    </a:schemeClr>
                  </a:solidFill>
                  <a:effectLst>
                    <a:glow rad="63500">
                      <a:schemeClr val="accent3">
                        <a:satMod val="175000"/>
                        <a:alpha val="40000"/>
                      </a:schemeClr>
                    </a:glow>
                  </a:effectLst>
                  <a:latin typeface="Aptos Narrow"/>
                </a:rPr>
                <a:t>Start Time</a:t>
              </a:r>
              <a:endParaRPr lang="en-US" sz="1200" b="1">
                <a:solidFill>
                  <a:schemeClr val="accent2">
                    <a:lumMod val="20000"/>
                    <a:lumOff val="80000"/>
                  </a:schemeClr>
                </a:solidFill>
                <a:effectLst>
                  <a:glow rad="63500">
                    <a:schemeClr val="accent3">
                      <a:satMod val="175000"/>
                      <a:alpha val="40000"/>
                    </a:schemeClr>
                  </a:glow>
                </a:effectLst>
              </a:endParaRPr>
            </a:p>
          </xdr:txBody>
        </xdr:sp>
        <xdr:sp macro="" textlink="'PIVIOT TABLE'!N3">
          <xdr:nvSpPr>
            <xdr:cNvPr id="90" name="TextBox 89">
              <a:extLst>
                <a:ext uri="{FF2B5EF4-FFF2-40B4-BE49-F238E27FC236}">
                  <a16:creationId xmlns:a16="http://schemas.microsoft.com/office/drawing/2014/main" id="{F7198989-173F-46DA-88DF-4F38FCF481AC}"/>
                </a:ext>
              </a:extLst>
            </xdr:cNvPr>
            <xdr:cNvSpPr txBox="1"/>
          </xdr:nvSpPr>
          <xdr:spPr>
            <a:xfrm>
              <a:off x="2647628" y="6660934"/>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2">
                      <a:lumMod val="20000"/>
                      <a:lumOff val="80000"/>
                    </a:schemeClr>
                  </a:solidFill>
                  <a:effectLst>
                    <a:glow rad="63500">
                      <a:schemeClr val="accent3">
                        <a:satMod val="175000"/>
                        <a:alpha val="40000"/>
                      </a:schemeClr>
                    </a:glow>
                  </a:effectLst>
                </a:rPr>
                <a:t>8:00 AM</a:t>
              </a:r>
            </a:p>
          </xdr:txBody>
        </xdr:sp>
      </xdr:grpSp>
      <xdr:grpSp>
        <xdr:nvGrpSpPr>
          <xdr:cNvPr id="92" name="Group 91">
            <a:extLst>
              <a:ext uri="{FF2B5EF4-FFF2-40B4-BE49-F238E27FC236}">
                <a16:creationId xmlns:a16="http://schemas.microsoft.com/office/drawing/2014/main" id="{935F22E9-7646-4D50-B7D3-5B0E8FFEC451}"/>
              </a:ext>
            </a:extLst>
          </xdr:cNvPr>
          <xdr:cNvGrpSpPr/>
        </xdr:nvGrpSpPr>
        <xdr:grpSpPr>
          <a:xfrm>
            <a:off x="3551140" y="6463630"/>
            <a:ext cx="1147405" cy="515474"/>
            <a:chOff x="2604083" y="6454105"/>
            <a:chExt cx="1139241" cy="515474"/>
          </a:xfrm>
        </xdr:grpSpPr>
        <xdr:sp macro="" textlink="'PIVIOT TABLE'!N3">
          <xdr:nvSpPr>
            <xdr:cNvPr id="93" name="TextBox 92">
              <a:extLst>
                <a:ext uri="{FF2B5EF4-FFF2-40B4-BE49-F238E27FC236}">
                  <a16:creationId xmlns:a16="http://schemas.microsoft.com/office/drawing/2014/main" id="{A97BBF12-9D2A-58AF-62FC-B382A666649E}"/>
                </a:ext>
              </a:extLst>
            </xdr:cNvPr>
            <xdr:cNvSpPr txBox="1"/>
          </xdr:nvSpPr>
          <xdr:spPr>
            <a:xfrm>
              <a:off x="2604083" y="6454105"/>
              <a:ext cx="1139241"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accent2">
                      <a:lumMod val="20000"/>
                      <a:lumOff val="80000"/>
                    </a:schemeClr>
                  </a:solidFill>
                  <a:effectLst>
                    <a:glow rad="63500">
                      <a:schemeClr val="accent3">
                        <a:satMod val="175000"/>
                        <a:alpha val="40000"/>
                      </a:schemeClr>
                    </a:glow>
                  </a:effectLst>
                  <a:latin typeface="Aptos Narrow"/>
                </a:rPr>
                <a:t>Shift Duration</a:t>
              </a:r>
              <a:endParaRPr lang="en-US" sz="1200" b="1">
                <a:solidFill>
                  <a:schemeClr val="accent2">
                    <a:lumMod val="20000"/>
                    <a:lumOff val="80000"/>
                  </a:schemeClr>
                </a:solidFill>
                <a:effectLst>
                  <a:glow rad="63500">
                    <a:schemeClr val="accent3">
                      <a:satMod val="175000"/>
                      <a:alpha val="40000"/>
                    </a:schemeClr>
                  </a:glow>
                </a:effectLst>
              </a:endParaRPr>
            </a:p>
          </xdr:txBody>
        </xdr:sp>
        <xdr:sp macro="" textlink="'PIVIOT TABLE'!N3">
          <xdr:nvSpPr>
            <xdr:cNvPr id="94" name="TextBox 93">
              <a:extLst>
                <a:ext uri="{FF2B5EF4-FFF2-40B4-BE49-F238E27FC236}">
                  <a16:creationId xmlns:a16="http://schemas.microsoft.com/office/drawing/2014/main" id="{E185E009-53A2-7B98-D993-875626F3AF76}"/>
                </a:ext>
              </a:extLst>
            </xdr:cNvPr>
            <xdr:cNvSpPr txBox="1"/>
          </xdr:nvSpPr>
          <xdr:spPr>
            <a:xfrm>
              <a:off x="2838128" y="6660934"/>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2">
                      <a:lumMod val="20000"/>
                      <a:lumOff val="80000"/>
                    </a:schemeClr>
                  </a:solidFill>
                  <a:effectLst>
                    <a:glow rad="63500">
                      <a:schemeClr val="accent3">
                        <a:satMod val="175000"/>
                        <a:alpha val="40000"/>
                      </a:schemeClr>
                    </a:glow>
                  </a:effectLst>
                </a:rPr>
                <a:t>8</a:t>
              </a:r>
              <a:r>
                <a:rPr lang="en-US" sz="1200" b="1" baseline="0">
                  <a:solidFill>
                    <a:schemeClr val="accent2">
                      <a:lumMod val="20000"/>
                      <a:lumOff val="80000"/>
                    </a:schemeClr>
                  </a:solidFill>
                  <a:effectLst>
                    <a:glow rad="63500">
                      <a:schemeClr val="accent3">
                        <a:satMod val="175000"/>
                        <a:alpha val="40000"/>
                      </a:schemeClr>
                    </a:glow>
                  </a:effectLst>
                </a:rPr>
                <a:t> Hrs</a:t>
              </a:r>
              <a:endParaRPr lang="en-US" sz="1200" b="1">
                <a:solidFill>
                  <a:schemeClr val="accent2">
                    <a:lumMod val="20000"/>
                    <a:lumOff val="80000"/>
                  </a:schemeClr>
                </a:solidFill>
                <a:effectLst>
                  <a:glow rad="63500">
                    <a:schemeClr val="accent3">
                      <a:satMod val="175000"/>
                      <a:alpha val="40000"/>
                    </a:schemeClr>
                  </a:glow>
                </a:effectLst>
              </a:endParaRPr>
            </a:p>
          </xdr:txBody>
        </xdr:sp>
      </xdr:grpSp>
      <xdr:grpSp>
        <xdr:nvGrpSpPr>
          <xdr:cNvPr id="95" name="Group 94">
            <a:extLst>
              <a:ext uri="{FF2B5EF4-FFF2-40B4-BE49-F238E27FC236}">
                <a16:creationId xmlns:a16="http://schemas.microsoft.com/office/drawing/2014/main" id="{E880EDAD-1946-4CBD-ABAA-3384E64D9CF2}"/>
              </a:ext>
            </a:extLst>
          </xdr:cNvPr>
          <xdr:cNvGrpSpPr/>
        </xdr:nvGrpSpPr>
        <xdr:grpSpPr>
          <a:xfrm>
            <a:off x="4673730" y="6473155"/>
            <a:ext cx="1026304" cy="505949"/>
            <a:chOff x="2604084" y="6454105"/>
            <a:chExt cx="1020861" cy="505949"/>
          </a:xfrm>
        </xdr:grpSpPr>
        <xdr:sp macro="" textlink="'PIVIOT TABLE'!N3">
          <xdr:nvSpPr>
            <xdr:cNvPr id="96" name="TextBox 95">
              <a:extLst>
                <a:ext uri="{FF2B5EF4-FFF2-40B4-BE49-F238E27FC236}">
                  <a16:creationId xmlns:a16="http://schemas.microsoft.com/office/drawing/2014/main" id="{407A2FD7-398D-689A-60B4-41363FC515A1}"/>
                </a:ext>
              </a:extLst>
            </xdr:cNvPr>
            <xdr:cNvSpPr txBox="1"/>
          </xdr:nvSpPr>
          <xdr:spPr>
            <a:xfrm>
              <a:off x="2604084" y="6454105"/>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accent2">
                      <a:lumMod val="20000"/>
                      <a:lumOff val="80000"/>
                    </a:schemeClr>
                  </a:solidFill>
                  <a:effectLst>
                    <a:glow rad="63500">
                      <a:schemeClr val="accent3">
                        <a:satMod val="175000"/>
                        <a:alpha val="40000"/>
                      </a:schemeClr>
                    </a:glow>
                  </a:effectLst>
                  <a:latin typeface="Aptos Narrow"/>
                </a:rPr>
                <a:t>Day</a:t>
              </a:r>
              <a:r>
                <a:rPr lang="en-US" sz="1200" b="1" i="0" u="none" strike="noStrike" baseline="0">
                  <a:solidFill>
                    <a:schemeClr val="accent2">
                      <a:lumMod val="20000"/>
                      <a:lumOff val="80000"/>
                    </a:schemeClr>
                  </a:solidFill>
                  <a:effectLst>
                    <a:glow rad="63500">
                      <a:schemeClr val="accent3">
                        <a:satMod val="175000"/>
                        <a:alpha val="40000"/>
                      </a:schemeClr>
                    </a:glow>
                  </a:effectLst>
                  <a:latin typeface="Aptos Narrow"/>
                </a:rPr>
                <a:t> Off 1</a:t>
              </a:r>
              <a:endParaRPr lang="en-US" sz="1200" b="1">
                <a:solidFill>
                  <a:schemeClr val="accent2">
                    <a:lumMod val="20000"/>
                    <a:lumOff val="80000"/>
                  </a:schemeClr>
                </a:solidFill>
                <a:effectLst>
                  <a:glow rad="63500">
                    <a:schemeClr val="accent3">
                      <a:satMod val="175000"/>
                      <a:alpha val="40000"/>
                    </a:schemeClr>
                  </a:glow>
                </a:effectLst>
              </a:endParaRPr>
            </a:p>
          </xdr:txBody>
        </xdr:sp>
        <xdr:sp macro="" textlink="'PIVIOT TABLE'!N3">
          <xdr:nvSpPr>
            <xdr:cNvPr id="152" name="TextBox 151">
              <a:extLst>
                <a:ext uri="{FF2B5EF4-FFF2-40B4-BE49-F238E27FC236}">
                  <a16:creationId xmlns:a16="http://schemas.microsoft.com/office/drawing/2014/main" id="{95E0871B-AD41-0187-F779-2A9A3897D3DA}"/>
                </a:ext>
              </a:extLst>
            </xdr:cNvPr>
            <xdr:cNvSpPr txBox="1"/>
          </xdr:nvSpPr>
          <xdr:spPr>
            <a:xfrm>
              <a:off x="2800028" y="6651409"/>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2">
                      <a:lumMod val="20000"/>
                      <a:lumOff val="80000"/>
                    </a:schemeClr>
                  </a:solidFill>
                  <a:effectLst>
                    <a:glow rad="63500">
                      <a:schemeClr val="accent3">
                        <a:satMod val="175000"/>
                        <a:alpha val="40000"/>
                      </a:schemeClr>
                    </a:glow>
                  </a:effectLst>
                </a:rPr>
                <a:t>Fri</a:t>
              </a:r>
            </a:p>
          </xdr:txBody>
        </xdr:sp>
      </xdr:grpSp>
      <xdr:grpSp>
        <xdr:nvGrpSpPr>
          <xdr:cNvPr id="100" name="Group 99">
            <a:extLst>
              <a:ext uri="{FF2B5EF4-FFF2-40B4-BE49-F238E27FC236}">
                <a16:creationId xmlns:a16="http://schemas.microsoft.com/office/drawing/2014/main" id="{4528C691-7C81-47DF-8216-C84D0BE64C3C}"/>
              </a:ext>
            </a:extLst>
          </xdr:cNvPr>
          <xdr:cNvGrpSpPr/>
        </xdr:nvGrpSpPr>
        <xdr:grpSpPr>
          <a:xfrm>
            <a:off x="2891195" y="7082755"/>
            <a:ext cx="1730016" cy="505949"/>
            <a:chOff x="2604084" y="6454105"/>
            <a:chExt cx="1718016" cy="505949"/>
          </a:xfrm>
        </xdr:grpSpPr>
        <xdr:sp macro="" textlink="'PIVIOT TABLE'!N3">
          <xdr:nvSpPr>
            <xdr:cNvPr id="147" name="TextBox 146">
              <a:extLst>
                <a:ext uri="{FF2B5EF4-FFF2-40B4-BE49-F238E27FC236}">
                  <a16:creationId xmlns:a16="http://schemas.microsoft.com/office/drawing/2014/main" id="{5D546BED-93F4-467F-AF0D-71288A2F0FE8}"/>
                </a:ext>
              </a:extLst>
            </xdr:cNvPr>
            <xdr:cNvSpPr txBox="1"/>
          </xdr:nvSpPr>
          <xdr:spPr>
            <a:xfrm>
              <a:off x="2604084" y="6454105"/>
              <a:ext cx="1718016"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accent2">
                      <a:lumMod val="20000"/>
                      <a:lumOff val="80000"/>
                    </a:schemeClr>
                  </a:solidFill>
                  <a:effectLst>
                    <a:glow rad="63500">
                      <a:schemeClr val="accent3">
                        <a:satMod val="175000"/>
                        <a:alpha val="40000"/>
                      </a:schemeClr>
                    </a:glow>
                  </a:effectLst>
                  <a:latin typeface="Aptos Narrow"/>
                </a:rPr>
                <a:t>Monthly</a:t>
              </a:r>
              <a:r>
                <a:rPr lang="en-US" sz="1200" b="1" i="0" u="none" strike="noStrike" baseline="0">
                  <a:solidFill>
                    <a:schemeClr val="accent2">
                      <a:lumMod val="20000"/>
                      <a:lumOff val="80000"/>
                    </a:schemeClr>
                  </a:solidFill>
                  <a:effectLst>
                    <a:glow rad="63500">
                      <a:schemeClr val="accent3">
                        <a:satMod val="175000"/>
                        <a:alpha val="40000"/>
                      </a:schemeClr>
                    </a:glow>
                  </a:effectLst>
                  <a:latin typeface="Aptos Narrow"/>
                </a:rPr>
                <a:t> Working Hour</a:t>
              </a:r>
              <a:endParaRPr lang="en-US" sz="1200" b="1">
                <a:solidFill>
                  <a:schemeClr val="accent2">
                    <a:lumMod val="20000"/>
                    <a:lumOff val="80000"/>
                  </a:schemeClr>
                </a:solidFill>
                <a:effectLst>
                  <a:glow rad="63500">
                    <a:schemeClr val="accent3">
                      <a:satMod val="175000"/>
                      <a:alpha val="40000"/>
                    </a:schemeClr>
                  </a:glow>
                </a:effectLst>
              </a:endParaRPr>
            </a:p>
          </xdr:txBody>
        </xdr:sp>
        <xdr:sp macro="" textlink="'PIVIOT TABLE'!N3">
          <xdr:nvSpPr>
            <xdr:cNvPr id="151" name="TextBox 150">
              <a:extLst>
                <a:ext uri="{FF2B5EF4-FFF2-40B4-BE49-F238E27FC236}">
                  <a16:creationId xmlns:a16="http://schemas.microsoft.com/office/drawing/2014/main" id="{250C127F-C84F-718B-879C-C2B866D74B19}"/>
                </a:ext>
              </a:extLst>
            </xdr:cNvPr>
            <xdr:cNvSpPr txBox="1"/>
          </xdr:nvSpPr>
          <xdr:spPr>
            <a:xfrm>
              <a:off x="3133403" y="6651409"/>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2">
                      <a:lumMod val="20000"/>
                      <a:lumOff val="80000"/>
                    </a:schemeClr>
                  </a:solidFill>
                  <a:effectLst>
                    <a:glow rad="63500">
                      <a:schemeClr val="accent3">
                        <a:satMod val="175000"/>
                        <a:alpha val="40000"/>
                      </a:schemeClr>
                    </a:glow>
                  </a:effectLst>
                </a:rPr>
                <a:t>184</a:t>
              </a:r>
            </a:p>
          </xdr:txBody>
        </xdr:sp>
      </xdr:grpSp>
      <xdr:grpSp>
        <xdr:nvGrpSpPr>
          <xdr:cNvPr id="156" name="Group 155">
            <a:extLst>
              <a:ext uri="{FF2B5EF4-FFF2-40B4-BE49-F238E27FC236}">
                <a16:creationId xmlns:a16="http://schemas.microsoft.com/office/drawing/2014/main" id="{3CF0DB4A-446A-48A7-855D-D4ABCA3CCAFC}"/>
              </a:ext>
            </a:extLst>
          </xdr:cNvPr>
          <xdr:cNvGrpSpPr/>
        </xdr:nvGrpSpPr>
        <xdr:grpSpPr>
          <a:xfrm>
            <a:off x="5571802" y="6473155"/>
            <a:ext cx="1026304" cy="505949"/>
            <a:chOff x="2604084" y="6454105"/>
            <a:chExt cx="1020861" cy="505949"/>
          </a:xfrm>
        </xdr:grpSpPr>
        <xdr:sp macro="" textlink="'PIVIOT TABLE'!N3">
          <xdr:nvSpPr>
            <xdr:cNvPr id="160" name="TextBox 159">
              <a:extLst>
                <a:ext uri="{FF2B5EF4-FFF2-40B4-BE49-F238E27FC236}">
                  <a16:creationId xmlns:a16="http://schemas.microsoft.com/office/drawing/2014/main" id="{31A81B3C-EB24-EAAE-F11B-A91A826236FB}"/>
                </a:ext>
              </a:extLst>
            </xdr:cNvPr>
            <xdr:cNvSpPr txBox="1"/>
          </xdr:nvSpPr>
          <xdr:spPr>
            <a:xfrm>
              <a:off x="2604084" y="6454105"/>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accent2">
                      <a:lumMod val="20000"/>
                      <a:lumOff val="80000"/>
                    </a:schemeClr>
                  </a:solidFill>
                  <a:effectLst>
                    <a:glow rad="63500">
                      <a:schemeClr val="accent3">
                        <a:satMod val="175000"/>
                        <a:alpha val="40000"/>
                      </a:schemeClr>
                    </a:glow>
                  </a:effectLst>
                  <a:latin typeface="Aptos Narrow"/>
                </a:rPr>
                <a:t>Day</a:t>
              </a:r>
              <a:r>
                <a:rPr lang="en-US" sz="1200" b="1" i="0" u="none" strike="noStrike" baseline="0">
                  <a:solidFill>
                    <a:schemeClr val="accent2">
                      <a:lumMod val="20000"/>
                      <a:lumOff val="80000"/>
                    </a:schemeClr>
                  </a:solidFill>
                  <a:effectLst>
                    <a:glow rad="63500">
                      <a:schemeClr val="accent3">
                        <a:satMod val="175000"/>
                        <a:alpha val="40000"/>
                      </a:schemeClr>
                    </a:glow>
                  </a:effectLst>
                  <a:latin typeface="Aptos Narrow"/>
                </a:rPr>
                <a:t> Off 1</a:t>
              </a:r>
              <a:endParaRPr lang="en-US" sz="1200" b="1">
                <a:solidFill>
                  <a:schemeClr val="accent2">
                    <a:lumMod val="20000"/>
                    <a:lumOff val="80000"/>
                  </a:schemeClr>
                </a:solidFill>
                <a:effectLst>
                  <a:glow rad="63500">
                    <a:schemeClr val="accent3">
                      <a:satMod val="175000"/>
                      <a:alpha val="40000"/>
                    </a:schemeClr>
                  </a:glow>
                </a:effectLst>
              </a:endParaRPr>
            </a:p>
          </xdr:txBody>
        </xdr:sp>
        <xdr:sp macro="" textlink="'PIVIOT TABLE'!N3">
          <xdr:nvSpPr>
            <xdr:cNvPr id="164" name="TextBox 163">
              <a:extLst>
                <a:ext uri="{FF2B5EF4-FFF2-40B4-BE49-F238E27FC236}">
                  <a16:creationId xmlns:a16="http://schemas.microsoft.com/office/drawing/2014/main" id="{140E5784-0328-AE8E-6401-C2A411C3C5DC}"/>
                </a:ext>
              </a:extLst>
            </xdr:cNvPr>
            <xdr:cNvSpPr txBox="1"/>
          </xdr:nvSpPr>
          <xdr:spPr>
            <a:xfrm>
              <a:off x="2800028" y="6651409"/>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2">
                      <a:lumMod val="20000"/>
                      <a:lumOff val="80000"/>
                    </a:schemeClr>
                  </a:solidFill>
                  <a:effectLst>
                    <a:glow rad="63500">
                      <a:schemeClr val="accent3">
                        <a:satMod val="175000"/>
                        <a:alpha val="40000"/>
                      </a:schemeClr>
                    </a:glow>
                  </a:effectLst>
                </a:rPr>
                <a:t>Sat</a:t>
              </a:r>
            </a:p>
          </xdr:txBody>
        </xdr:sp>
      </xdr:grpSp>
      <xdr:grpSp>
        <xdr:nvGrpSpPr>
          <xdr:cNvPr id="165" name="Group 164">
            <a:extLst>
              <a:ext uri="{FF2B5EF4-FFF2-40B4-BE49-F238E27FC236}">
                <a16:creationId xmlns:a16="http://schemas.microsoft.com/office/drawing/2014/main" id="{F2EFC4EB-8B63-4163-83E5-8B5F25B2198F}"/>
              </a:ext>
            </a:extLst>
          </xdr:cNvPr>
          <xdr:cNvGrpSpPr/>
        </xdr:nvGrpSpPr>
        <xdr:grpSpPr>
          <a:xfrm>
            <a:off x="4540380" y="7092280"/>
            <a:ext cx="1563784" cy="505949"/>
            <a:chOff x="2604084" y="6454105"/>
            <a:chExt cx="1558341" cy="505949"/>
          </a:xfrm>
        </xdr:grpSpPr>
        <xdr:sp macro="" textlink="'PIVIOT TABLE'!N3">
          <xdr:nvSpPr>
            <xdr:cNvPr id="166" name="TextBox 165">
              <a:extLst>
                <a:ext uri="{FF2B5EF4-FFF2-40B4-BE49-F238E27FC236}">
                  <a16:creationId xmlns:a16="http://schemas.microsoft.com/office/drawing/2014/main" id="{2FFF941B-39C9-0015-E2A0-C9CA7B953927}"/>
                </a:ext>
              </a:extLst>
            </xdr:cNvPr>
            <xdr:cNvSpPr txBox="1"/>
          </xdr:nvSpPr>
          <xdr:spPr>
            <a:xfrm>
              <a:off x="2604084" y="6454105"/>
              <a:ext cx="1558341"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baseline="0">
                  <a:solidFill>
                    <a:schemeClr val="accent2">
                      <a:lumMod val="20000"/>
                      <a:lumOff val="80000"/>
                    </a:schemeClr>
                  </a:solidFill>
                  <a:effectLst>
                    <a:glow rad="63500">
                      <a:schemeClr val="accent3">
                        <a:satMod val="175000"/>
                        <a:alpha val="40000"/>
                      </a:schemeClr>
                    </a:glow>
                  </a:effectLst>
                  <a:latin typeface="Aptos Narrow"/>
                </a:rPr>
                <a:t>Weekly Working Hour</a:t>
              </a:r>
              <a:endParaRPr lang="en-US" sz="1200" b="1">
                <a:solidFill>
                  <a:schemeClr val="accent2">
                    <a:lumMod val="20000"/>
                    <a:lumOff val="80000"/>
                  </a:schemeClr>
                </a:solidFill>
                <a:effectLst>
                  <a:glow rad="63500">
                    <a:schemeClr val="accent3">
                      <a:satMod val="175000"/>
                      <a:alpha val="40000"/>
                    </a:schemeClr>
                  </a:glow>
                </a:effectLst>
              </a:endParaRPr>
            </a:p>
          </xdr:txBody>
        </xdr:sp>
        <xdr:sp macro="" textlink="'PIVIOT TABLE'!N3">
          <xdr:nvSpPr>
            <xdr:cNvPr id="167" name="TextBox 166">
              <a:extLst>
                <a:ext uri="{FF2B5EF4-FFF2-40B4-BE49-F238E27FC236}">
                  <a16:creationId xmlns:a16="http://schemas.microsoft.com/office/drawing/2014/main" id="{286B2EE5-02EF-FA87-1F84-C38CBE681397}"/>
                </a:ext>
              </a:extLst>
            </xdr:cNvPr>
            <xdr:cNvSpPr txBox="1"/>
          </xdr:nvSpPr>
          <xdr:spPr>
            <a:xfrm>
              <a:off x="3133403" y="6651409"/>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2">
                      <a:lumMod val="20000"/>
                      <a:lumOff val="80000"/>
                    </a:schemeClr>
                  </a:solidFill>
                  <a:effectLst>
                    <a:glow rad="63500">
                      <a:schemeClr val="accent3">
                        <a:satMod val="175000"/>
                        <a:alpha val="40000"/>
                      </a:schemeClr>
                    </a:glow>
                  </a:effectLst>
                </a:rPr>
                <a:t>40</a:t>
              </a:r>
            </a:p>
          </xdr:txBody>
        </xdr:sp>
      </xdr:grpSp>
    </xdr:grpSp>
    <xdr:clientData/>
  </xdr:twoCellAnchor>
  <xdr:twoCellAnchor>
    <xdr:from>
      <xdr:col>14</xdr:col>
      <xdr:colOff>275484</xdr:colOff>
      <xdr:row>13</xdr:row>
      <xdr:rowOff>179293</xdr:rowOff>
    </xdr:from>
    <xdr:to>
      <xdr:col>17</xdr:col>
      <xdr:colOff>12869</xdr:colOff>
      <xdr:row>24</xdr:row>
      <xdr:rowOff>136069</xdr:rowOff>
    </xdr:to>
    <xdr:grpSp>
      <xdr:nvGrpSpPr>
        <xdr:cNvPr id="204" name="Group 203">
          <a:extLst>
            <a:ext uri="{FF2B5EF4-FFF2-40B4-BE49-F238E27FC236}">
              <a16:creationId xmlns:a16="http://schemas.microsoft.com/office/drawing/2014/main" id="{0F97E11D-0FD0-6827-68B7-2D2CFB0A543D}"/>
            </a:ext>
          </a:extLst>
        </xdr:cNvPr>
        <xdr:cNvGrpSpPr/>
      </xdr:nvGrpSpPr>
      <xdr:grpSpPr>
        <a:xfrm>
          <a:off x="8984055" y="2655793"/>
          <a:ext cx="1574350" cy="2052276"/>
          <a:chOff x="9541948" y="2655793"/>
          <a:chExt cx="1574350" cy="2052276"/>
        </a:xfrm>
      </xdr:grpSpPr>
      <xdr:sp macro="" textlink="">
        <xdr:nvSpPr>
          <xdr:cNvPr id="142" name="Rectangle: Rounded Corners 141">
            <a:extLst>
              <a:ext uri="{FF2B5EF4-FFF2-40B4-BE49-F238E27FC236}">
                <a16:creationId xmlns:a16="http://schemas.microsoft.com/office/drawing/2014/main" id="{2C0A402F-8247-4A82-ACAE-B720BEF284DC}"/>
              </a:ext>
            </a:extLst>
          </xdr:cNvPr>
          <xdr:cNvSpPr/>
        </xdr:nvSpPr>
        <xdr:spPr>
          <a:xfrm rot="16200000">
            <a:off x="9506592" y="3138446"/>
            <a:ext cx="1996245" cy="1143001"/>
          </a:xfrm>
          <a:prstGeom prst="roundRect">
            <a:avLst>
              <a:gd name="adj" fmla="val 14028"/>
            </a:avLst>
          </a:prstGeom>
          <a:solidFill>
            <a:srgbClr val="FF0000">
              <a:alpha val="57000"/>
            </a:srgb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PIVIOT TABLE'!X9">
        <xdr:nvSpPr>
          <xdr:cNvPr id="18" name="TextBox 17">
            <a:extLst>
              <a:ext uri="{FF2B5EF4-FFF2-40B4-BE49-F238E27FC236}">
                <a16:creationId xmlns:a16="http://schemas.microsoft.com/office/drawing/2014/main" id="{E19B86F5-96A9-CF9C-B1FF-11B71F249B38}"/>
              </a:ext>
            </a:extLst>
          </xdr:cNvPr>
          <xdr:cNvSpPr txBox="1"/>
        </xdr:nvSpPr>
        <xdr:spPr>
          <a:xfrm rot="16200000">
            <a:off x="10240149" y="3152301"/>
            <a:ext cx="1291014" cy="297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111B258-BA3B-4C60-80F9-799744605D40}" type="TxLink">
              <a:rPr lang="en-US" sz="2000" b="1" i="0" u="none" strike="noStrike">
                <a:solidFill>
                  <a:schemeClr val="bg1">
                    <a:lumMod val="95000"/>
                  </a:schemeClr>
                </a:solidFill>
                <a:latin typeface="Aptos Narrow"/>
              </a:rPr>
              <a:pPr algn="ctr"/>
              <a:t>ABSENT</a:t>
            </a:fld>
            <a:endParaRPr lang="en-US" sz="2000" b="1">
              <a:solidFill>
                <a:schemeClr val="bg1">
                  <a:lumMod val="95000"/>
                </a:schemeClr>
              </a:solidFill>
            </a:endParaRPr>
          </a:p>
        </xdr:txBody>
      </xdr:sp>
      <xdr:sp macro="" textlink="'PIVIOT TABLE'!Y9">
        <xdr:nvSpPr>
          <xdr:cNvPr id="19" name="TextBox 18">
            <a:extLst>
              <a:ext uri="{FF2B5EF4-FFF2-40B4-BE49-F238E27FC236}">
                <a16:creationId xmlns:a16="http://schemas.microsoft.com/office/drawing/2014/main" id="{7B61DA60-8F45-6614-EF00-621801CD4AA1}"/>
              </a:ext>
            </a:extLst>
          </xdr:cNvPr>
          <xdr:cNvSpPr txBox="1"/>
        </xdr:nvSpPr>
        <xdr:spPr>
          <a:xfrm>
            <a:off x="9541948" y="4228367"/>
            <a:ext cx="1345747" cy="417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5B89A5-F6E7-40DC-B364-C4189E863D5A}" type="TxLink">
              <a:rPr lang="en-US" sz="2400" b="1" i="0" u="none" strike="noStrike">
                <a:solidFill>
                  <a:schemeClr val="bg1">
                    <a:lumMod val="95000"/>
                  </a:schemeClr>
                </a:solidFill>
                <a:latin typeface="Aptos Narrow"/>
              </a:rPr>
              <a:pPr algn="ctr"/>
              <a:t>2</a:t>
            </a:fld>
            <a:endParaRPr lang="en-US" sz="2400" b="1">
              <a:solidFill>
                <a:schemeClr val="bg1">
                  <a:lumMod val="95000"/>
                </a:schemeClr>
              </a:solidFill>
            </a:endParaRPr>
          </a:p>
        </xdr:txBody>
      </xdr:sp>
      <xdr:sp macro="" textlink="'PIVIOT TABLE'!X9">
        <xdr:nvSpPr>
          <xdr:cNvPr id="168" name="TextBox 167">
            <a:extLst>
              <a:ext uri="{FF2B5EF4-FFF2-40B4-BE49-F238E27FC236}">
                <a16:creationId xmlns:a16="http://schemas.microsoft.com/office/drawing/2014/main" id="{DF5C4807-6719-43A5-BDAD-170706CC6008}"/>
              </a:ext>
            </a:extLst>
          </xdr:cNvPr>
          <xdr:cNvSpPr txBox="1"/>
        </xdr:nvSpPr>
        <xdr:spPr>
          <a:xfrm>
            <a:off x="9770551" y="4168311"/>
            <a:ext cx="1345747"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i="0" u="none" strike="noStrike">
                <a:solidFill>
                  <a:schemeClr val="bg1">
                    <a:lumMod val="95000"/>
                  </a:schemeClr>
                </a:solidFill>
                <a:latin typeface="Aptos Narrow"/>
              </a:rPr>
              <a:t>Days</a:t>
            </a:r>
            <a:endParaRPr lang="en-US" sz="1050" b="1">
              <a:solidFill>
                <a:schemeClr val="bg1">
                  <a:lumMod val="95000"/>
                </a:schemeClr>
              </a:solidFill>
            </a:endParaRPr>
          </a:p>
        </xdr:txBody>
      </xdr:sp>
    </xdr:grpSp>
    <xdr:clientData/>
  </xdr:twoCellAnchor>
  <xdr:twoCellAnchor>
    <xdr:from>
      <xdr:col>8</xdr:col>
      <xdr:colOff>149096</xdr:colOff>
      <xdr:row>25</xdr:row>
      <xdr:rowOff>28821</xdr:rowOff>
    </xdr:from>
    <xdr:to>
      <xdr:col>10</xdr:col>
      <xdr:colOff>522674</xdr:colOff>
      <xdr:row>27</xdr:row>
      <xdr:rowOff>136070</xdr:rowOff>
    </xdr:to>
    <xdr:sp macro="" textlink="'PIVIOT TABLE'!X9">
      <xdr:nvSpPr>
        <xdr:cNvPr id="3" name="TextBox 2">
          <a:extLst>
            <a:ext uri="{FF2B5EF4-FFF2-40B4-BE49-F238E27FC236}">
              <a16:creationId xmlns:a16="http://schemas.microsoft.com/office/drawing/2014/main" id="{E53B30E3-9860-46D8-BF1F-B1ECDB4164D3}"/>
            </a:ext>
          </a:extLst>
        </xdr:cNvPr>
        <xdr:cNvSpPr txBox="1"/>
      </xdr:nvSpPr>
      <xdr:spPr>
        <a:xfrm>
          <a:off x="5124508" y="4791321"/>
          <a:ext cx="1583813" cy="488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95000"/>
                </a:schemeClr>
              </a:solidFill>
              <a:effectLst>
                <a:glow rad="63500">
                  <a:schemeClr val="accent3">
                    <a:satMod val="175000"/>
                    <a:alpha val="40000"/>
                  </a:schemeClr>
                </a:glow>
              </a:effectLst>
            </a:rPr>
            <a:t>Late Attendance</a:t>
          </a:r>
        </a:p>
      </xdr:txBody>
    </xdr:sp>
    <xdr:clientData/>
  </xdr:twoCellAnchor>
  <xdr:twoCellAnchor>
    <xdr:from>
      <xdr:col>9</xdr:col>
      <xdr:colOff>75071</xdr:colOff>
      <xdr:row>26</xdr:row>
      <xdr:rowOff>114122</xdr:rowOff>
    </xdr:from>
    <xdr:to>
      <xdr:col>10</xdr:col>
      <xdr:colOff>59950</xdr:colOff>
      <xdr:row>28</xdr:row>
      <xdr:rowOff>152400</xdr:rowOff>
    </xdr:to>
    <xdr:sp macro="" textlink="'PIVIOT TABLE'!J5">
      <xdr:nvSpPr>
        <xdr:cNvPr id="5" name="TextBox 4">
          <a:extLst>
            <a:ext uri="{FF2B5EF4-FFF2-40B4-BE49-F238E27FC236}">
              <a16:creationId xmlns:a16="http://schemas.microsoft.com/office/drawing/2014/main" id="{1A32D48D-F112-4DC3-B752-2FB7864F504B}"/>
            </a:ext>
          </a:extLst>
        </xdr:cNvPr>
        <xdr:cNvSpPr txBox="1"/>
      </xdr:nvSpPr>
      <xdr:spPr>
        <a:xfrm>
          <a:off x="5655600" y="5067122"/>
          <a:ext cx="589997" cy="419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8104DD-50E9-4E8C-A826-9395A98A1D32}" type="TxLink">
            <a:rPr lang="en-US" sz="2000" b="1" i="0" u="none" strike="noStrike">
              <a:solidFill>
                <a:schemeClr val="bg1"/>
              </a:solidFill>
              <a:latin typeface="Aptos Narrow"/>
            </a:rPr>
            <a:pPr/>
            <a:t>84</a:t>
          </a:fld>
          <a:endParaRPr lang="en-US" sz="3200" b="1">
            <a:solidFill>
              <a:schemeClr val="bg1"/>
            </a:solidFill>
          </a:endParaRPr>
        </a:p>
      </xdr:txBody>
    </xdr:sp>
    <xdr:clientData/>
  </xdr:twoCellAnchor>
  <xdr:twoCellAnchor>
    <xdr:from>
      <xdr:col>4</xdr:col>
      <xdr:colOff>68036</xdr:colOff>
      <xdr:row>16</xdr:row>
      <xdr:rowOff>81643</xdr:rowOff>
    </xdr:from>
    <xdr:to>
      <xdr:col>10</xdr:col>
      <xdr:colOff>435428</xdr:colOff>
      <xdr:row>22</xdr:row>
      <xdr:rowOff>122464</xdr:rowOff>
    </xdr:to>
    <xdr:sp macro="" textlink="">
      <xdr:nvSpPr>
        <xdr:cNvPr id="185" name="Rectangle: Rounded Corners 184">
          <a:extLst>
            <a:ext uri="{FF2B5EF4-FFF2-40B4-BE49-F238E27FC236}">
              <a16:creationId xmlns:a16="http://schemas.microsoft.com/office/drawing/2014/main" id="{A48FD9B7-8FC5-4C42-8E9E-A6E4A11B451E}"/>
            </a:ext>
          </a:extLst>
        </xdr:cNvPr>
        <xdr:cNvSpPr/>
      </xdr:nvSpPr>
      <xdr:spPr>
        <a:xfrm>
          <a:off x="2517322" y="3129643"/>
          <a:ext cx="4177392" cy="1183821"/>
        </a:xfrm>
        <a:prstGeom prst="roundRect">
          <a:avLst>
            <a:gd name="adj" fmla="val 11329"/>
          </a:avLst>
        </a:prstGeom>
        <a:solidFill>
          <a:schemeClr val="tx1">
            <a:lumMod val="85000"/>
            <a:lumOff val="1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57849</xdr:colOff>
      <xdr:row>28</xdr:row>
      <xdr:rowOff>22017</xdr:rowOff>
    </xdr:from>
    <xdr:to>
      <xdr:col>10</xdr:col>
      <xdr:colOff>159218</xdr:colOff>
      <xdr:row>29</xdr:row>
      <xdr:rowOff>135074</xdr:rowOff>
    </xdr:to>
    <xdr:sp macro="" textlink="'PIVIOT TABLE'!N4">
      <xdr:nvSpPr>
        <xdr:cNvPr id="6" name="TextBox 5">
          <a:extLst>
            <a:ext uri="{FF2B5EF4-FFF2-40B4-BE49-F238E27FC236}">
              <a16:creationId xmlns:a16="http://schemas.microsoft.com/office/drawing/2014/main" id="{4AE9EBD8-2313-49CE-87BA-76D229FF1786}"/>
            </a:ext>
          </a:extLst>
        </xdr:cNvPr>
        <xdr:cNvSpPr txBox="1"/>
      </xdr:nvSpPr>
      <xdr:spPr>
        <a:xfrm>
          <a:off x="5638378" y="5356017"/>
          <a:ext cx="706487" cy="303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solidFill>
              <a:effectLst>
                <a:glow rad="63500">
                  <a:schemeClr val="accent3">
                    <a:satMod val="175000"/>
                    <a:alpha val="40000"/>
                  </a:schemeClr>
                </a:glow>
              </a:effectLst>
            </a:rPr>
            <a:t>Days</a:t>
          </a:r>
        </a:p>
      </xdr:txBody>
    </xdr:sp>
    <xdr:clientData/>
  </xdr:twoCellAnchor>
  <xdr:twoCellAnchor editAs="oneCell">
    <xdr:from>
      <xdr:col>9</xdr:col>
      <xdr:colOff>119359</xdr:colOff>
      <xdr:row>23</xdr:row>
      <xdr:rowOff>146233</xdr:rowOff>
    </xdr:from>
    <xdr:to>
      <xdr:col>9</xdr:col>
      <xdr:colOff>501862</xdr:colOff>
      <xdr:row>25</xdr:row>
      <xdr:rowOff>141157</xdr:rowOff>
    </xdr:to>
    <xdr:pic>
      <xdr:nvPicPr>
        <xdr:cNvPr id="12" name="Graphic 11" descr="Clock with solid fill">
          <a:extLst>
            <a:ext uri="{FF2B5EF4-FFF2-40B4-BE49-F238E27FC236}">
              <a16:creationId xmlns:a16="http://schemas.microsoft.com/office/drawing/2014/main" id="{FA75F2D9-B872-4F1A-9904-C3EBF98D0C2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768098" y="4527733"/>
          <a:ext cx="382503" cy="375924"/>
        </a:xfrm>
        <a:prstGeom prst="rect">
          <a:avLst/>
        </a:prstGeom>
      </xdr:spPr>
    </xdr:pic>
    <xdr:clientData/>
  </xdr:twoCellAnchor>
  <xdr:twoCellAnchor>
    <xdr:from>
      <xdr:col>20</xdr:col>
      <xdr:colOff>464170</xdr:colOff>
      <xdr:row>19</xdr:row>
      <xdr:rowOff>102558</xdr:rowOff>
    </xdr:from>
    <xdr:to>
      <xdr:col>21</xdr:col>
      <xdr:colOff>54429</xdr:colOff>
      <xdr:row>24</xdr:row>
      <xdr:rowOff>101468</xdr:rowOff>
    </xdr:to>
    <xdr:sp macro="" textlink="">
      <xdr:nvSpPr>
        <xdr:cNvPr id="25" name="Rectangle: Rounded Corners 24">
          <a:extLst>
            <a:ext uri="{FF2B5EF4-FFF2-40B4-BE49-F238E27FC236}">
              <a16:creationId xmlns:a16="http://schemas.microsoft.com/office/drawing/2014/main" id="{B34DCB35-E299-4AF7-A066-07FC4EF0B4B6}"/>
            </a:ext>
          </a:extLst>
        </xdr:cNvPr>
        <xdr:cNvSpPr/>
      </xdr:nvSpPr>
      <xdr:spPr>
        <a:xfrm rot="5400000">
          <a:off x="12472255" y="4096473"/>
          <a:ext cx="951410" cy="202580"/>
        </a:xfrm>
        <a:prstGeom prst="roundRect">
          <a:avLst>
            <a:gd name="adj" fmla="val 30720"/>
          </a:avLst>
        </a:prstGeom>
        <a:solidFill>
          <a:srgbClr val="032B1D"/>
        </a:solidFill>
        <a:ln>
          <a:solidFill>
            <a:srgbClr val="032B1D"/>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20</xdr:col>
      <xdr:colOff>287199</xdr:colOff>
      <xdr:row>20</xdr:row>
      <xdr:rowOff>145450</xdr:rowOff>
    </xdr:from>
    <xdr:to>
      <xdr:col>23</xdr:col>
      <xdr:colOff>416822</xdr:colOff>
      <xdr:row>22</xdr:row>
      <xdr:rowOff>147455</xdr:rowOff>
    </xdr:to>
    <xdr:sp macro="" textlink="">
      <xdr:nvSpPr>
        <xdr:cNvPr id="26" name="TextBox 25">
          <a:extLst>
            <a:ext uri="{FF2B5EF4-FFF2-40B4-BE49-F238E27FC236}">
              <a16:creationId xmlns:a16="http://schemas.microsoft.com/office/drawing/2014/main" id="{7AA43629-8866-4F7E-B095-91691EAE93A2}"/>
            </a:ext>
          </a:extLst>
        </xdr:cNvPr>
        <xdr:cNvSpPr txBox="1"/>
      </xdr:nvSpPr>
      <xdr:spPr>
        <a:xfrm>
          <a:off x="12669699" y="3955450"/>
          <a:ext cx="1966587"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i="0" u="none" strike="noStrike">
              <a:solidFill>
                <a:schemeClr val="bg1"/>
              </a:solidFill>
              <a:latin typeface="Aptos Narrow"/>
            </a:rPr>
            <a:t># Working Hour By Months</a:t>
          </a:r>
        </a:p>
      </xdr:txBody>
    </xdr:sp>
    <xdr:clientData/>
  </xdr:twoCellAnchor>
  <xdr:twoCellAnchor>
    <xdr:from>
      <xdr:col>10</xdr:col>
      <xdr:colOff>505440</xdr:colOff>
      <xdr:row>17</xdr:row>
      <xdr:rowOff>62807</xdr:rowOff>
    </xdr:from>
    <xdr:to>
      <xdr:col>14</xdr:col>
      <xdr:colOff>592435</xdr:colOff>
      <xdr:row>41</xdr:row>
      <xdr:rowOff>1839</xdr:rowOff>
    </xdr:to>
    <xdr:sp macro="" textlink="">
      <xdr:nvSpPr>
        <xdr:cNvPr id="178" name="Rectangle: Rounded Corners 177">
          <a:extLst>
            <a:ext uri="{FF2B5EF4-FFF2-40B4-BE49-F238E27FC236}">
              <a16:creationId xmlns:a16="http://schemas.microsoft.com/office/drawing/2014/main" id="{9053A5F9-EEA2-4675-A3CA-1DFC5E1D9D35}"/>
            </a:ext>
          </a:extLst>
        </xdr:cNvPr>
        <xdr:cNvSpPr/>
      </xdr:nvSpPr>
      <xdr:spPr>
        <a:xfrm rot="5400000">
          <a:off x="5777350" y="4288683"/>
          <a:ext cx="4511032" cy="2536280"/>
        </a:xfrm>
        <a:prstGeom prst="roundRect">
          <a:avLst>
            <a:gd name="adj" fmla="val 10094"/>
          </a:avLst>
        </a:prstGeom>
        <a:solidFill>
          <a:srgbClr val="74B230"/>
        </a:solidFill>
        <a:ln>
          <a:solidFill>
            <a:schemeClr val="tx2">
              <a:lumMod val="90000"/>
              <a:lumOff val="10000"/>
            </a:schemeClr>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635157</xdr:colOff>
      <xdr:row>16</xdr:row>
      <xdr:rowOff>139401</xdr:rowOff>
    </xdr:from>
    <xdr:to>
      <xdr:col>8</xdr:col>
      <xdr:colOff>514626</xdr:colOff>
      <xdr:row>18</xdr:row>
      <xdr:rowOff>189510</xdr:rowOff>
    </xdr:to>
    <xdr:sp macro="" textlink="'PIVIOT TABLE'!N3">
      <xdr:nvSpPr>
        <xdr:cNvPr id="181" name="TextBox 180">
          <a:extLst>
            <a:ext uri="{FF2B5EF4-FFF2-40B4-BE49-F238E27FC236}">
              <a16:creationId xmlns:a16="http://schemas.microsoft.com/office/drawing/2014/main" id="{8601E26E-CB62-474E-8E1B-BD983462688D}"/>
            </a:ext>
          </a:extLst>
        </xdr:cNvPr>
        <xdr:cNvSpPr txBox="1"/>
      </xdr:nvSpPr>
      <xdr:spPr>
        <a:xfrm>
          <a:off x="3660745" y="3187401"/>
          <a:ext cx="1829293" cy="431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latin typeface="Aptos Narrow"/>
            </a:rPr>
            <a:t>Attendance</a:t>
          </a:r>
          <a:endParaRPr lang="en-US" sz="1800" b="1">
            <a:solidFill>
              <a:schemeClr val="bg1"/>
            </a:solidFill>
          </a:endParaRPr>
        </a:p>
      </xdr:txBody>
    </xdr:sp>
    <xdr:clientData/>
  </xdr:twoCellAnchor>
  <xdr:twoCellAnchor>
    <xdr:from>
      <xdr:col>5</xdr:col>
      <xdr:colOff>626965</xdr:colOff>
      <xdr:row>18</xdr:row>
      <xdr:rowOff>60109</xdr:rowOff>
    </xdr:from>
    <xdr:to>
      <xdr:col>7</xdr:col>
      <xdr:colOff>384806</xdr:colOff>
      <xdr:row>20</xdr:row>
      <xdr:rowOff>143941</xdr:rowOff>
    </xdr:to>
    <xdr:grpSp>
      <xdr:nvGrpSpPr>
        <xdr:cNvPr id="186" name="Group 185">
          <a:extLst>
            <a:ext uri="{FF2B5EF4-FFF2-40B4-BE49-F238E27FC236}">
              <a16:creationId xmlns:a16="http://schemas.microsoft.com/office/drawing/2014/main" id="{2F6B5E62-D6CB-A23D-E878-F0DA08B8B84C}"/>
            </a:ext>
          </a:extLst>
        </xdr:cNvPr>
        <xdr:cNvGrpSpPr/>
      </xdr:nvGrpSpPr>
      <xdr:grpSpPr>
        <a:xfrm>
          <a:off x="3688572" y="3489109"/>
          <a:ext cx="1118555" cy="464832"/>
          <a:chOff x="3894040" y="3641509"/>
          <a:chExt cx="1107029" cy="464832"/>
        </a:xfrm>
      </xdr:grpSpPr>
      <xdr:sp macro="" textlink="'PIVIOT TABLE'!D4">
        <xdr:nvSpPr>
          <xdr:cNvPr id="182" name="TextBox 181">
            <a:extLst>
              <a:ext uri="{FF2B5EF4-FFF2-40B4-BE49-F238E27FC236}">
                <a16:creationId xmlns:a16="http://schemas.microsoft.com/office/drawing/2014/main" id="{9D6C7637-1B3F-453F-B1CF-032BD1DCDA36}"/>
              </a:ext>
            </a:extLst>
          </xdr:cNvPr>
          <xdr:cNvSpPr txBox="1"/>
        </xdr:nvSpPr>
        <xdr:spPr>
          <a:xfrm>
            <a:off x="3894040" y="3641509"/>
            <a:ext cx="903838" cy="431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5ED5DC4-57E7-4DFE-9792-4C26ECC31625}" type="TxLink">
              <a:rPr lang="en-US" sz="2800" b="1" i="0" u="none" strike="noStrike">
                <a:solidFill>
                  <a:schemeClr val="bg1"/>
                </a:solidFill>
                <a:latin typeface="Aptos Narrow"/>
              </a:rPr>
              <a:pPr/>
              <a:t>104</a:t>
            </a:fld>
            <a:endParaRPr lang="en-US" sz="4400" b="1">
              <a:solidFill>
                <a:schemeClr val="bg1"/>
              </a:solidFill>
            </a:endParaRPr>
          </a:p>
        </xdr:txBody>
      </xdr:sp>
      <xdr:sp macro="" textlink="'PIVIOT TABLE'!X9">
        <xdr:nvSpPr>
          <xdr:cNvPr id="183" name="TextBox 182">
            <a:extLst>
              <a:ext uri="{FF2B5EF4-FFF2-40B4-BE49-F238E27FC236}">
                <a16:creationId xmlns:a16="http://schemas.microsoft.com/office/drawing/2014/main" id="{4BC69405-46CC-49B0-BACB-17F672668567}"/>
              </a:ext>
            </a:extLst>
          </xdr:cNvPr>
          <xdr:cNvSpPr txBox="1"/>
        </xdr:nvSpPr>
        <xdr:spPr>
          <a:xfrm>
            <a:off x="4486274" y="3821925"/>
            <a:ext cx="514795"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chemeClr val="bg1">
                    <a:lumMod val="95000"/>
                  </a:schemeClr>
                </a:solidFill>
                <a:latin typeface="Aptos Narrow"/>
              </a:rPr>
              <a:t>Days</a:t>
            </a:r>
            <a:endParaRPr lang="en-US" sz="1100" b="1">
              <a:solidFill>
                <a:schemeClr val="bg1">
                  <a:lumMod val="95000"/>
                </a:schemeClr>
              </a:solidFill>
            </a:endParaRPr>
          </a:p>
        </xdr:txBody>
      </xdr:sp>
    </xdr:grpSp>
    <xdr:clientData/>
  </xdr:twoCellAnchor>
  <xdr:twoCellAnchor>
    <xdr:from>
      <xdr:col>6</xdr:col>
      <xdr:colOff>74222</xdr:colOff>
      <xdr:row>20</xdr:row>
      <xdr:rowOff>154618</xdr:rowOff>
    </xdr:from>
    <xdr:to>
      <xdr:col>6</xdr:col>
      <xdr:colOff>336177</xdr:colOff>
      <xdr:row>22</xdr:row>
      <xdr:rowOff>22412</xdr:rowOff>
    </xdr:to>
    <xdr:sp macro="" textlink="">
      <xdr:nvSpPr>
        <xdr:cNvPr id="187" name="Rectangle: Rounded Corners 186">
          <a:extLst>
            <a:ext uri="{FF2B5EF4-FFF2-40B4-BE49-F238E27FC236}">
              <a16:creationId xmlns:a16="http://schemas.microsoft.com/office/drawing/2014/main" id="{4D4CF0CD-BCBF-4E11-AF40-7F1267B14F4A}"/>
            </a:ext>
          </a:extLst>
        </xdr:cNvPr>
        <xdr:cNvSpPr/>
      </xdr:nvSpPr>
      <xdr:spPr>
        <a:xfrm>
          <a:off x="3839398" y="3964618"/>
          <a:ext cx="261955" cy="248794"/>
        </a:xfrm>
        <a:prstGeom prst="roundRect">
          <a:avLst>
            <a:gd name="adj" fmla="val 50000"/>
          </a:avLst>
        </a:prstGeom>
        <a:solidFill>
          <a:schemeClr val="bg1">
            <a:lumMod val="5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702091</xdr:colOff>
      <xdr:row>20</xdr:row>
      <xdr:rowOff>128444</xdr:rowOff>
    </xdr:from>
    <xdr:to>
      <xdr:col>10</xdr:col>
      <xdr:colOff>302558</xdr:colOff>
      <xdr:row>22</xdr:row>
      <xdr:rowOff>69821</xdr:rowOff>
    </xdr:to>
    <xdr:grpSp>
      <xdr:nvGrpSpPr>
        <xdr:cNvPr id="193" name="Group 192">
          <a:extLst>
            <a:ext uri="{FF2B5EF4-FFF2-40B4-BE49-F238E27FC236}">
              <a16:creationId xmlns:a16="http://schemas.microsoft.com/office/drawing/2014/main" id="{AE4548CC-AF64-CA70-8D7E-390A5B3C9468}"/>
            </a:ext>
          </a:extLst>
        </xdr:cNvPr>
        <xdr:cNvGrpSpPr/>
      </xdr:nvGrpSpPr>
      <xdr:grpSpPr>
        <a:xfrm>
          <a:off x="3763698" y="3938444"/>
          <a:ext cx="2798146" cy="322377"/>
          <a:chOff x="3772503" y="3927238"/>
          <a:chExt cx="2760526" cy="322377"/>
        </a:xfrm>
      </xdr:grpSpPr>
      <xdr:sp macro="" textlink="">
        <xdr:nvSpPr>
          <xdr:cNvPr id="161" name="Rectangle: Rounded Corners 160">
            <a:extLst>
              <a:ext uri="{FF2B5EF4-FFF2-40B4-BE49-F238E27FC236}">
                <a16:creationId xmlns:a16="http://schemas.microsoft.com/office/drawing/2014/main" id="{7969BEF4-8095-4F45-9830-13D7D165B3B4}"/>
              </a:ext>
            </a:extLst>
          </xdr:cNvPr>
          <xdr:cNvSpPr/>
        </xdr:nvSpPr>
        <xdr:spPr>
          <a:xfrm>
            <a:off x="3772503" y="3944471"/>
            <a:ext cx="2760526" cy="302558"/>
          </a:xfrm>
          <a:prstGeom prst="roundRect">
            <a:avLst>
              <a:gd name="adj" fmla="val 24026"/>
            </a:avLst>
          </a:prstGeom>
          <a:solidFill>
            <a:schemeClr val="bg2">
              <a:lumMod val="25000"/>
            </a:schemeClr>
          </a:solidFill>
          <a:ln>
            <a:no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PIVIOT TABLE'!X9">
        <xdr:nvSpPr>
          <xdr:cNvPr id="184" name="TextBox 183">
            <a:extLst>
              <a:ext uri="{FF2B5EF4-FFF2-40B4-BE49-F238E27FC236}">
                <a16:creationId xmlns:a16="http://schemas.microsoft.com/office/drawing/2014/main" id="{515692D1-9CA9-4651-BBF2-51C17F32364D}"/>
              </a:ext>
            </a:extLst>
          </xdr:cNvPr>
          <xdr:cNvSpPr txBox="1"/>
        </xdr:nvSpPr>
        <xdr:spPr>
          <a:xfrm>
            <a:off x="4022912" y="3939586"/>
            <a:ext cx="2342030"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lumMod val="95000"/>
                  </a:schemeClr>
                </a:solidFill>
                <a:latin typeface="Aptos Narrow"/>
              </a:rPr>
              <a:t>Total</a:t>
            </a:r>
            <a:r>
              <a:rPr lang="en-US" sz="1100" b="0" i="0" u="none" strike="noStrike" baseline="0">
                <a:solidFill>
                  <a:schemeClr val="bg1">
                    <a:lumMod val="95000"/>
                  </a:schemeClr>
                </a:solidFill>
                <a:latin typeface="Aptos Narrow"/>
              </a:rPr>
              <a:t> days at work , Including days late</a:t>
            </a:r>
            <a:endParaRPr lang="en-US" sz="1100" b="0">
              <a:solidFill>
                <a:schemeClr val="bg1">
                  <a:lumMod val="95000"/>
                </a:schemeClr>
              </a:solidFill>
            </a:endParaRPr>
          </a:p>
        </xdr:txBody>
      </xdr:sp>
      <xdr:sp macro="" textlink="'PIVIOT TABLE'!X9">
        <xdr:nvSpPr>
          <xdr:cNvPr id="189" name="TextBox 188">
            <a:extLst>
              <a:ext uri="{FF2B5EF4-FFF2-40B4-BE49-F238E27FC236}">
                <a16:creationId xmlns:a16="http://schemas.microsoft.com/office/drawing/2014/main" id="{C55EBEA0-69A8-42A1-A598-B5740488DDDB}"/>
              </a:ext>
            </a:extLst>
          </xdr:cNvPr>
          <xdr:cNvSpPr txBox="1"/>
        </xdr:nvSpPr>
        <xdr:spPr>
          <a:xfrm>
            <a:off x="3785249" y="3927238"/>
            <a:ext cx="382909" cy="322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a:solidFill>
                  <a:schemeClr val="bg1">
                    <a:lumMod val="95000"/>
                  </a:schemeClr>
                </a:solidFill>
              </a:rPr>
              <a:t>#</a:t>
            </a:r>
          </a:p>
        </xdr:txBody>
      </xdr:sp>
    </xdr:grpSp>
    <xdr:clientData/>
  </xdr:twoCellAnchor>
  <xdr:twoCellAnchor>
    <xdr:from>
      <xdr:col>18</xdr:col>
      <xdr:colOff>405754</xdr:colOff>
      <xdr:row>18</xdr:row>
      <xdr:rowOff>187529</xdr:rowOff>
    </xdr:from>
    <xdr:to>
      <xdr:col>20</xdr:col>
      <xdr:colOff>249878</xdr:colOff>
      <xdr:row>24</xdr:row>
      <xdr:rowOff>56901</xdr:rowOff>
    </xdr:to>
    <xdr:sp macro="" textlink="">
      <xdr:nvSpPr>
        <xdr:cNvPr id="194" name="Rectangle: Rounded Corners 193">
          <a:extLst>
            <a:ext uri="{FF2B5EF4-FFF2-40B4-BE49-F238E27FC236}">
              <a16:creationId xmlns:a16="http://schemas.microsoft.com/office/drawing/2014/main" id="{BAD70BDD-87F9-4D1D-9690-0C920C9BF780}"/>
            </a:ext>
          </a:extLst>
        </xdr:cNvPr>
        <xdr:cNvSpPr/>
      </xdr:nvSpPr>
      <xdr:spPr>
        <a:xfrm>
          <a:off x="11563611" y="3616529"/>
          <a:ext cx="1068767" cy="1012372"/>
        </a:xfrm>
        <a:prstGeom prst="roundRect">
          <a:avLst>
            <a:gd name="adj" fmla="val 13409"/>
          </a:avLst>
        </a:prstGeom>
        <a:solidFill>
          <a:srgbClr val="032B1D"/>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22</xdr:col>
      <xdr:colOff>172008</xdr:colOff>
      <xdr:row>6</xdr:row>
      <xdr:rowOff>137948</xdr:rowOff>
    </xdr:from>
    <xdr:to>
      <xdr:col>24</xdr:col>
      <xdr:colOff>105574</xdr:colOff>
      <xdr:row>11</xdr:row>
      <xdr:rowOff>157656</xdr:rowOff>
    </xdr:to>
    <xdr:sp macro="" textlink="">
      <xdr:nvSpPr>
        <xdr:cNvPr id="195" name="Rectangle: Rounded Corners 194">
          <a:extLst>
            <a:ext uri="{FF2B5EF4-FFF2-40B4-BE49-F238E27FC236}">
              <a16:creationId xmlns:a16="http://schemas.microsoft.com/office/drawing/2014/main" id="{2D4FCEC4-E465-471E-96C3-9F26D08A6248}"/>
            </a:ext>
          </a:extLst>
        </xdr:cNvPr>
        <xdr:cNvSpPr/>
      </xdr:nvSpPr>
      <xdr:spPr>
        <a:xfrm>
          <a:off x="13716558" y="1280948"/>
          <a:ext cx="1152766" cy="972208"/>
        </a:xfrm>
        <a:prstGeom prst="roundRect">
          <a:avLst>
            <a:gd name="adj" fmla="val 11329"/>
          </a:avLst>
        </a:prstGeom>
        <a:solidFill>
          <a:schemeClr val="tx1">
            <a:lumMod val="85000"/>
            <a:lumOff val="1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22</xdr:col>
      <xdr:colOff>251468</xdr:colOff>
      <xdr:row>7</xdr:row>
      <xdr:rowOff>16565</xdr:rowOff>
    </xdr:from>
    <xdr:to>
      <xdr:col>24</xdr:col>
      <xdr:colOff>74543</xdr:colOff>
      <xdr:row>11</xdr:row>
      <xdr:rowOff>91109</xdr:rowOff>
    </xdr:to>
    <xdr:grpSp>
      <xdr:nvGrpSpPr>
        <xdr:cNvPr id="196" name="Group 195">
          <a:extLst>
            <a:ext uri="{FF2B5EF4-FFF2-40B4-BE49-F238E27FC236}">
              <a16:creationId xmlns:a16="http://schemas.microsoft.com/office/drawing/2014/main" id="{CC76398F-E2E2-229B-97F8-E6F0B5A529EF}"/>
            </a:ext>
          </a:extLst>
        </xdr:cNvPr>
        <xdr:cNvGrpSpPr/>
      </xdr:nvGrpSpPr>
      <xdr:grpSpPr>
        <a:xfrm>
          <a:off x="13858611" y="1350065"/>
          <a:ext cx="1047718" cy="836544"/>
          <a:chOff x="13747202" y="1350065"/>
          <a:chExt cx="1037513" cy="836544"/>
        </a:xfrm>
      </xdr:grpSpPr>
      <xdr:sp macro="" textlink="'PIVIOT TABLE'!N3">
        <xdr:nvSpPr>
          <xdr:cNvPr id="7" name="TextBox 6">
            <a:extLst>
              <a:ext uri="{FF2B5EF4-FFF2-40B4-BE49-F238E27FC236}">
                <a16:creationId xmlns:a16="http://schemas.microsoft.com/office/drawing/2014/main" id="{B2FE2BA2-9F57-4BE3-9BFD-B04B12C4261B}"/>
              </a:ext>
            </a:extLst>
          </xdr:cNvPr>
          <xdr:cNvSpPr txBox="1"/>
        </xdr:nvSpPr>
        <xdr:spPr>
          <a:xfrm>
            <a:off x="13747202" y="1664391"/>
            <a:ext cx="1037513" cy="223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721BBC-C11F-4972-963D-44687068D82A}" type="TxLink">
              <a:rPr lang="en-US" sz="1200" b="0" i="0" u="none" strike="noStrike">
                <a:solidFill>
                  <a:schemeClr val="bg1"/>
                </a:solidFill>
                <a:latin typeface="Aptos Narrow"/>
              </a:rPr>
              <a:pPr/>
              <a:t>Working Hour</a:t>
            </a:fld>
            <a:endParaRPr lang="en-US" sz="1200" b="0">
              <a:solidFill>
                <a:schemeClr val="bg1"/>
              </a:solidFill>
            </a:endParaRPr>
          </a:p>
        </xdr:txBody>
      </xdr:sp>
      <xdr:sp macro="" textlink="'PIVIOT TABLE'!N4">
        <xdr:nvSpPr>
          <xdr:cNvPr id="11" name="TextBox 10">
            <a:extLst>
              <a:ext uri="{FF2B5EF4-FFF2-40B4-BE49-F238E27FC236}">
                <a16:creationId xmlns:a16="http://schemas.microsoft.com/office/drawing/2014/main" id="{3E6669F9-A783-46E8-86E7-E083300828C3}"/>
              </a:ext>
            </a:extLst>
          </xdr:cNvPr>
          <xdr:cNvSpPr txBox="1"/>
        </xdr:nvSpPr>
        <xdr:spPr>
          <a:xfrm>
            <a:off x="13932733" y="1883052"/>
            <a:ext cx="708589" cy="303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DAF4DBE-3643-4B47-B202-89C7A39456A9}" type="TxLink">
              <a:rPr lang="en-US" sz="1600" b="1" i="0" u="none" strike="noStrike">
                <a:solidFill>
                  <a:schemeClr val="bg1"/>
                </a:solidFill>
                <a:latin typeface="Aptos Narrow"/>
              </a:rPr>
              <a:pPr/>
              <a:t>22:06</a:t>
            </a:fld>
            <a:endParaRPr lang="en-US" sz="1600" b="1">
              <a:solidFill>
                <a:schemeClr val="bg1"/>
              </a:solidFill>
            </a:endParaRPr>
          </a:p>
        </xdr:txBody>
      </xdr:sp>
      <xdr:pic>
        <xdr:nvPicPr>
          <xdr:cNvPr id="13" name="Graphic 12" descr="Clock with solid fill">
            <a:extLst>
              <a:ext uri="{FF2B5EF4-FFF2-40B4-BE49-F238E27FC236}">
                <a16:creationId xmlns:a16="http://schemas.microsoft.com/office/drawing/2014/main" id="{0F55D6B9-BE75-4D8C-299D-5000AB20D4C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3"/>
              </a:ext>
            </a:extLst>
          </a:blip>
          <a:stretch>
            <a:fillRect/>
          </a:stretch>
        </xdr:blipFill>
        <xdr:spPr>
          <a:xfrm>
            <a:off x="14056585" y="1350065"/>
            <a:ext cx="350459" cy="356153"/>
          </a:xfrm>
          <a:prstGeom prst="rect">
            <a:avLst/>
          </a:prstGeom>
        </xdr:spPr>
      </xdr:pic>
    </xdr:grpSp>
    <xdr:clientData/>
  </xdr:twoCellAnchor>
  <xdr:twoCellAnchor>
    <xdr:from>
      <xdr:col>10</xdr:col>
      <xdr:colOff>409071</xdr:colOff>
      <xdr:row>17</xdr:row>
      <xdr:rowOff>164974</xdr:rowOff>
    </xdr:from>
    <xdr:to>
      <xdr:col>14</xdr:col>
      <xdr:colOff>367393</xdr:colOff>
      <xdr:row>19</xdr:row>
      <xdr:rowOff>166979</xdr:rowOff>
    </xdr:to>
    <xdr:sp macro="" textlink="'PIVIOT TABLE'!AF10">
      <xdr:nvSpPr>
        <xdr:cNvPr id="199" name="TextBox 198">
          <a:extLst>
            <a:ext uri="{FF2B5EF4-FFF2-40B4-BE49-F238E27FC236}">
              <a16:creationId xmlns:a16="http://schemas.microsoft.com/office/drawing/2014/main" id="{7650AB8D-7FE5-43E8-8938-12B53E770019}"/>
            </a:ext>
          </a:extLst>
        </xdr:cNvPr>
        <xdr:cNvSpPr txBox="1"/>
      </xdr:nvSpPr>
      <xdr:spPr>
        <a:xfrm>
          <a:off x="6668357" y="3403474"/>
          <a:ext cx="2407607"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solidFill>
                <a:schemeClr val="bg2">
                  <a:lumMod val="25000"/>
                </a:schemeClr>
              </a:solidFill>
              <a:effectLst/>
              <a:latin typeface="Aptos Narrow"/>
            </a:rPr>
            <a:t>Days</a:t>
          </a:r>
          <a:r>
            <a:rPr lang="en-US" sz="2000" b="1" i="0" u="none" strike="noStrike" baseline="0">
              <a:solidFill>
                <a:schemeClr val="bg2">
                  <a:lumMod val="25000"/>
                </a:schemeClr>
              </a:solidFill>
              <a:effectLst/>
              <a:latin typeface="Aptos Narrow"/>
            </a:rPr>
            <a:t> total attended</a:t>
          </a:r>
          <a:endParaRPr lang="en-US" sz="2000" b="1">
            <a:solidFill>
              <a:schemeClr val="bg2">
                <a:lumMod val="25000"/>
              </a:schemeClr>
            </a:solidFill>
            <a:effectLst/>
          </a:endParaRPr>
        </a:p>
      </xdr:txBody>
    </xdr:sp>
    <xdr:clientData/>
  </xdr:twoCellAnchor>
  <xdr:twoCellAnchor>
    <xdr:from>
      <xdr:col>10</xdr:col>
      <xdr:colOff>389310</xdr:colOff>
      <xdr:row>19</xdr:row>
      <xdr:rowOff>142256</xdr:rowOff>
    </xdr:from>
    <xdr:to>
      <xdr:col>13</xdr:col>
      <xdr:colOff>258536</xdr:colOff>
      <xdr:row>21</xdr:row>
      <xdr:rowOff>144261</xdr:rowOff>
    </xdr:to>
    <xdr:sp macro="" textlink="'PIVIOT TABLE'!AF10">
      <xdr:nvSpPr>
        <xdr:cNvPr id="200" name="TextBox 199">
          <a:extLst>
            <a:ext uri="{FF2B5EF4-FFF2-40B4-BE49-F238E27FC236}">
              <a16:creationId xmlns:a16="http://schemas.microsoft.com/office/drawing/2014/main" id="{58567BCB-0F02-4EC6-89CA-0102A3C76966}"/>
            </a:ext>
          </a:extLst>
        </xdr:cNvPr>
        <xdr:cNvSpPr txBox="1"/>
      </xdr:nvSpPr>
      <xdr:spPr>
        <a:xfrm>
          <a:off x="6648596" y="3761756"/>
          <a:ext cx="1706190"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chemeClr val="bg2">
                  <a:lumMod val="10000"/>
                </a:schemeClr>
              </a:solidFill>
              <a:effectLst/>
            </a:rPr>
            <a:t>ON</a:t>
          </a:r>
          <a:r>
            <a:rPr lang="en-US" sz="2800" b="1" baseline="0">
              <a:solidFill>
                <a:schemeClr val="bg2">
                  <a:lumMod val="10000"/>
                </a:schemeClr>
              </a:solidFill>
              <a:effectLst/>
            </a:rPr>
            <a:t> TIME</a:t>
          </a:r>
          <a:endParaRPr lang="en-US" sz="2800" b="1">
            <a:solidFill>
              <a:schemeClr val="bg2">
                <a:lumMod val="10000"/>
              </a:schemeClr>
            </a:solidFill>
            <a:effectLst/>
          </a:endParaRPr>
        </a:p>
      </xdr:txBody>
    </xdr:sp>
    <xdr:clientData/>
  </xdr:twoCellAnchor>
  <xdr:twoCellAnchor>
    <xdr:from>
      <xdr:col>11</xdr:col>
      <xdr:colOff>99008</xdr:colOff>
      <xdr:row>21</xdr:row>
      <xdr:rowOff>49223</xdr:rowOff>
    </xdr:from>
    <xdr:to>
      <xdr:col>12</xdr:col>
      <xdr:colOff>399934</xdr:colOff>
      <xdr:row>24</xdr:row>
      <xdr:rowOff>95250</xdr:rowOff>
    </xdr:to>
    <xdr:sp macro="" textlink="'PIVIOT TABLE'!$G$5">
      <xdr:nvSpPr>
        <xdr:cNvPr id="206" name="TextBox 205">
          <a:extLst>
            <a:ext uri="{FF2B5EF4-FFF2-40B4-BE49-F238E27FC236}">
              <a16:creationId xmlns:a16="http://schemas.microsoft.com/office/drawing/2014/main" id="{B741037F-87A7-757B-C50E-743542163E1A}"/>
            </a:ext>
          </a:extLst>
        </xdr:cNvPr>
        <xdr:cNvSpPr txBox="1"/>
      </xdr:nvSpPr>
      <xdr:spPr>
        <a:xfrm>
          <a:off x="6970615" y="4049723"/>
          <a:ext cx="913248" cy="617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6631B11-8CB6-4329-ACC4-B5D54D2DD39F}" type="TxLink">
            <a:rPr lang="en-US" sz="4400" b="1" i="0" u="none" strike="noStrike">
              <a:ln>
                <a:solidFill>
                  <a:schemeClr val="bg2">
                    <a:lumMod val="75000"/>
                  </a:schemeClr>
                </a:solidFill>
              </a:ln>
              <a:solidFill>
                <a:schemeClr val="bg1"/>
              </a:solidFill>
              <a:latin typeface="Aptos Narrow"/>
            </a:rPr>
            <a:pPr/>
            <a:t>20</a:t>
          </a:fld>
          <a:endParaRPr lang="en-US" sz="16600" b="1">
            <a:ln>
              <a:solidFill>
                <a:schemeClr val="bg2">
                  <a:lumMod val="75000"/>
                </a:schemeClr>
              </a:solidFill>
            </a:ln>
            <a:solidFill>
              <a:schemeClr val="bg1"/>
            </a:solidFill>
          </a:endParaRPr>
        </a:p>
      </xdr:txBody>
    </xdr:sp>
    <xdr:clientData/>
  </xdr:twoCellAnchor>
  <xdr:twoCellAnchor>
    <xdr:from>
      <xdr:col>12</xdr:col>
      <xdr:colOff>85085</xdr:colOff>
      <xdr:row>21</xdr:row>
      <xdr:rowOff>120783</xdr:rowOff>
    </xdr:from>
    <xdr:to>
      <xdr:col>12</xdr:col>
      <xdr:colOff>605240</xdr:colOff>
      <xdr:row>23</xdr:row>
      <xdr:rowOff>24199</xdr:rowOff>
    </xdr:to>
    <xdr:sp macro="" textlink="'PIVIOT TABLE'!X9">
      <xdr:nvSpPr>
        <xdr:cNvPr id="207" name="TextBox 206">
          <a:extLst>
            <a:ext uri="{FF2B5EF4-FFF2-40B4-BE49-F238E27FC236}">
              <a16:creationId xmlns:a16="http://schemas.microsoft.com/office/drawing/2014/main" id="{5E0183A0-895C-1DC4-32C3-965E416B1F14}"/>
            </a:ext>
          </a:extLst>
        </xdr:cNvPr>
        <xdr:cNvSpPr txBox="1"/>
      </xdr:nvSpPr>
      <xdr:spPr>
        <a:xfrm>
          <a:off x="7569014" y="4121283"/>
          <a:ext cx="520155"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chemeClr val="bg1">
                  <a:lumMod val="95000"/>
                </a:schemeClr>
              </a:solidFill>
              <a:latin typeface="Aptos Narrow"/>
            </a:rPr>
            <a:t>Days</a:t>
          </a:r>
          <a:endParaRPr lang="en-US" sz="1100" b="1">
            <a:solidFill>
              <a:schemeClr val="bg1">
                <a:lumMod val="95000"/>
              </a:schemeClr>
            </a:solidFill>
          </a:endParaRPr>
        </a:p>
      </xdr:txBody>
    </xdr:sp>
    <xdr:clientData/>
  </xdr:twoCellAnchor>
  <xdr:twoCellAnchor>
    <xdr:from>
      <xdr:col>18</xdr:col>
      <xdr:colOff>93068</xdr:colOff>
      <xdr:row>22</xdr:row>
      <xdr:rowOff>4007</xdr:rowOff>
    </xdr:from>
    <xdr:to>
      <xdr:col>20</xdr:col>
      <xdr:colOff>466647</xdr:colOff>
      <xdr:row>24</xdr:row>
      <xdr:rowOff>111256</xdr:rowOff>
    </xdr:to>
    <xdr:sp macro="" textlink="'PIVIOT TABLE'!X9">
      <xdr:nvSpPr>
        <xdr:cNvPr id="218" name="TextBox 217">
          <a:extLst>
            <a:ext uri="{FF2B5EF4-FFF2-40B4-BE49-F238E27FC236}">
              <a16:creationId xmlns:a16="http://schemas.microsoft.com/office/drawing/2014/main" id="{FBFE9CA1-1C58-4C2C-9614-251910D676B9}"/>
            </a:ext>
          </a:extLst>
        </xdr:cNvPr>
        <xdr:cNvSpPr txBox="1"/>
      </xdr:nvSpPr>
      <xdr:spPr>
        <a:xfrm>
          <a:off x="11250925" y="4195007"/>
          <a:ext cx="1598222" cy="48824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lumMod val="95000"/>
                </a:schemeClr>
              </a:solidFill>
              <a:effectLst/>
            </a:rPr>
            <a:t>Day Off</a:t>
          </a:r>
          <a:endParaRPr lang="en-US" sz="1400" b="1">
            <a:solidFill>
              <a:schemeClr val="bg1">
                <a:lumMod val="95000"/>
              </a:schemeClr>
            </a:solidFill>
            <a:effectLst/>
          </a:endParaRPr>
        </a:p>
      </xdr:txBody>
    </xdr:sp>
    <xdr:clientData/>
  </xdr:twoCellAnchor>
  <xdr:twoCellAnchor>
    <xdr:from>
      <xdr:col>19</xdr:col>
      <xdr:colOff>77325</xdr:colOff>
      <xdr:row>20</xdr:row>
      <xdr:rowOff>83941</xdr:rowOff>
    </xdr:from>
    <xdr:to>
      <xdr:col>20</xdr:col>
      <xdr:colOff>372292</xdr:colOff>
      <xdr:row>22</xdr:row>
      <xdr:rowOff>134050</xdr:rowOff>
    </xdr:to>
    <xdr:sp macro="" textlink="">
      <xdr:nvSpPr>
        <xdr:cNvPr id="223" name="TextBox 222">
          <a:extLst>
            <a:ext uri="{FF2B5EF4-FFF2-40B4-BE49-F238E27FC236}">
              <a16:creationId xmlns:a16="http://schemas.microsoft.com/office/drawing/2014/main" id="{7BBED209-1272-0CCF-677F-3212FB55E279}"/>
            </a:ext>
          </a:extLst>
        </xdr:cNvPr>
        <xdr:cNvSpPr txBox="1"/>
      </xdr:nvSpPr>
      <xdr:spPr>
        <a:xfrm>
          <a:off x="11847504" y="3893941"/>
          <a:ext cx="907288" cy="431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chemeClr val="bg1"/>
              </a:solidFill>
            </a:rPr>
            <a:t>42</a:t>
          </a:r>
        </a:p>
      </xdr:txBody>
    </xdr:sp>
    <xdr:clientData/>
  </xdr:twoCellAnchor>
  <xdr:twoCellAnchor>
    <xdr:from>
      <xdr:col>19</xdr:col>
      <xdr:colOff>384565</xdr:colOff>
      <xdr:row>19</xdr:row>
      <xdr:rowOff>139492</xdr:rowOff>
    </xdr:from>
    <xdr:to>
      <xdr:col>20</xdr:col>
      <xdr:colOff>289004</xdr:colOff>
      <xdr:row>21</xdr:row>
      <xdr:rowOff>42908</xdr:rowOff>
    </xdr:to>
    <xdr:sp macro="" textlink="'PIVIOT TABLE'!X9">
      <xdr:nvSpPr>
        <xdr:cNvPr id="224" name="TextBox 223">
          <a:extLst>
            <a:ext uri="{FF2B5EF4-FFF2-40B4-BE49-F238E27FC236}">
              <a16:creationId xmlns:a16="http://schemas.microsoft.com/office/drawing/2014/main" id="{8439749B-A1A0-5D76-C298-2E890F960E83}"/>
            </a:ext>
          </a:extLst>
        </xdr:cNvPr>
        <xdr:cNvSpPr txBox="1"/>
      </xdr:nvSpPr>
      <xdr:spPr>
        <a:xfrm>
          <a:off x="12154744" y="3758992"/>
          <a:ext cx="516760"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chemeClr val="bg1">
                  <a:lumMod val="95000"/>
                </a:schemeClr>
              </a:solidFill>
              <a:latin typeface="Aptos Narrow"/>
            </a:rPr>
            <a:t>Days</a:t>
          </a:r>
          <a:endParaRPr lang="en-US" sz="1100" b="1">
            <a:solidFill>
              <a:schemeClr val="bg1">
                <a:lumMod val="95000"/>
              </a:schemeClr>
            </a:solidFill>
          </a:endParaRPr>
        </a:p>
      </xdr:txBody>
    </xdr:sp>
    <xdr:clientData/>
  </xdr:twoCellAnchor>
  <xdr:twoCellAnchor>
    <xdr:from>
      <xdr:col>10</xdr:col>
      <xdr:colOff>505351</xdr:colOff>
      <xdr:row>19</xdr:row>
      <xdr:rowOff>134090</xdr:rowOff>
    </xdr:from>
    <xdr:to>
      <xdr:col>15</xdr:col>
      <xdr:colOff>17702</xdr:colOff>
      <xdr:row>41</xdr:row>
      <xdr:rowOff>1461</xdr:rowOff>
    </xdr:to>
    <xdr:grpSp>
      <xdr:nvGrpSpPr>
        <xdr:cNvPr id="172" name="Group 171">
          <a:extLst>
            <a:ext uri="{FF2B5EF4-FFF2-40B4-BE49-F238E27FC236}">
              <a16:creationId xmlns:a16="http://schemas.microsoft.com/office/drawing/2014/main" id="{145A3330-7895-C088-435E-30F583F4258F}"/>
            </a:ext>
          </a:extLst>
        </xdr:cNvPr>
        <xdr:cNvGrpSpPr/>
      </xdr:nvGrpSpPr>
      <xdr:grpSpPr>
        <a:xfrm>
          <a:off x="6764637" y="3753590"/>
          <a:ext cx="2573958" cy="4058371"/>
          <a:chOff x="6732710" y="8370796"/>
          <a:chExt cx="2547362" cy="4058371"/>
        </a:xfrm>
      </xdr:grpSpPr>
      <xdr:sp macro="" textlink="">
        <xdr:nvSpPr>
          <xdr:cNvPr id="85" name="Rectangle: Rounded Corners 84">
            <a:extLst>
              <a:ext uri="{FF2B5EF4-FFF2-40B4-BE49-F238E27FC236}">
                <a16:creationId xmlns:a16="http://schemas.microsoft.com/office/drawing/2014/main" id="{74DA3FE3-15BF-4134-9F12-4B1103E58E22}"/>
              </a:ext>
            </a:extLst>
          </xdr:cNvPr>
          <xdr:cNvSpPr/>
        </xdr:nvSpPr>
        <xdr:spPr>
          <a:xfrm rot="5400000">
            <a:off x="7778031" y="10967389"/>
            <a:ext cx="416457" cy="2507099"/>
          </a:xfrm>
          <a:prstGeom prst="roundRect">
            <a:avLst>
              <a:gd name="adj" fmla="val 23092"/>
            </a:avLst>
          </a:prstGeom>
          <a:solidFill>
            <a:schemeClr val="bg2">
              <a:lumMod val="75000"/>
            </a:schemeClr>
          </a:solidFill>
          <a:ln>
            <a:solidFill>
              <a:schemeClr val="tx2">
                <a:lumMod val="90000"/>
                <a:lumOff val="10000"/>
              </a:schemeClr>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97" name="Rectangle: Rounded Corners 96">
            <a:extLst>
              <a:ext uri="{FF2B5EF4-FFF2-40B4-BE49-F238E27FC236}">
                <a16:creationId xmlns:a16="http://schemas.microsoft.com/office/drawing/2014/main" id="{D34AC640-FAF8-42E0-B960-A90943411262}"/>
              </a:ext>
            </a:extLst>
          </xdr:cNvPr>
          <xdr:cNvSpPr/>
        </xdr:nvSpPr>
        <xdr:spPr>
          <a:xfrm rot="5400000">
            <a:off x="7154697" y="10267572"/>
            <a:ext cx="3697940" cy="487100"/>
          </a:xfrm>
          <a:prstGeom prst="roundRect">
            <a:avLst>
              <a:gd name="adj" fmla="val 28498"/>
            </a:avLst>
          </a:prstGeom>
          <a:solidFill>
            <a:schemeClr val="bg2">
              <a:lumMod val="7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8" name="Rectangle: Rounded Corners 137">
            <a:extLst>
              <a:ext uri="{FF2B5EF4-FFF2-40B4-BE49-F238E27FC236}">
                <a16:creationId xmlns:a16="http://schemas.microsoft.com/office/drawing/2014/main" id="{F441A909-73A4-4849-91C1-C9B14B268BC3}"/>
              </a:ext>
            </a:extLst>
          </xdr:cNvPr>
          <xdr:cNvSpPr/>
        </xdr:nvSpPr>
        <xdr:spPr>
          <a:xfrm rot="5400000">
            <a:off x="6343238" y="11528438"/>
            <a:ext cx="1258018" cy="478436"/>
          </a:xfrm>
          <a:prstGeom prst="roundRect">
            <a:avLst>
              <a:gd name="adj" fmla="val 10094"/>
            </a:avLst>
          </a:prstGeom>
          <a:solidFill>
            <a:schemeClr val="bg2">
              <a:lumMod val="7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65" name="Freeform: Shape 64">
            <a:extLst>
              <a:ext uri="{FF2B5EF4-FFF2-40B4-BE49-F238E27FC236}">
                <a16:creationId xmlns:a16="http://schemas.microsoft.com/office/drawing/2014/main" id="{99837B1B-2FE4-BAF0-B96C-5A13CD657BB9}"/>
              </a:ext>
            </a:extLst>
          </xdr:cNvPr>
          <xdr:cNvSpPr/>
        </xdr:nvSpPr>
        <xdr:spPr>
          <a:xfrm>
            <a:off x="6737459" y="8370796"/>
            <a:ext cx="2542613" cy="3966882"/>
          </a:xfrm>
          <a:custGeom>
            <a:avLst/>
            <a:gdLst>
              <a:gd name="connsiteX0" fmla="*/ 34042 w 2592895"/>
              <a:gd name="connsiteY0" fmla="*/ 2805453 h 4046989"/>
              <a:gd name="connsiteX1" fmla="*/ 34042 w 2592895"/>
              <a:gd name="connsiteY1" fmla="*/ 3798774 h 4046989"/>
              <a:gd name="connsiteX2" fmla="*/ 387828 w 2592895"/>
              <a:gd name="connsiteY2" fmla="*/ 4002882 h 4046989"/>
              <a:gd name="connsiteX3" fmla="*/ 2333649 w 2592895"/>
              <a:gd name="connsiteY3" fmla="*/ 4002882 h 4046989"/>
              <a:gd name="connsiteX4" fmla="*/ 2551363 w 2592895"/>
              <a:gd name="connsiteY4" fmla="*/ 3526632 h 4046989"/>
              <a:gd name="connsiteX5" fmla="*/ 2537756 w 2592895"/>
              <a:gd name="connsiteY5" fmla="*/ 437810 h 4046989"/>
              <a:gd name="connsiteX6" fmla="*/ 1993471 w 2592895"/>
              <a:gd name="connsiteY6" fmla="*/ 43203 h 4046989"/>
              <a:gd name="connsiteX7" fmla="*/ 1503613 w 2592895"/>
              <a:gd name="connsiteY7" fmla="*/ 641917 h 4046989"/>
              <a:gd name="connsiteX8" fmla="*/ 1068185 w 2592895"/>
              <a:gd name="connsiteY8" fmla="*/ 914060 h 4046989"/>
              <a:gd name="connsiteX9" fmla="*/ 932113 w 2592895"/>
              <a:gd name="connsiteY9" fmla="*/ 1063739 h 4046989"/>
              <a:gd name="connsiteX10" fmla="*/ 932113 w 2592895"/>
              <a:gd name="connsiteY10" fmla="*/ 1349489 h 4046989"/>
              <a:gd name="connsiteX11" fmla="*/ 1054578 w 2592895"/>
              <a:gd name="connsiteY11" fmla="*/ 1621632 h 4046989"/>
              <a:gd name="connsiteX12" fmla="*/ 1245078 w 2592895"/>
              <a:gd name="connsiteY12" fmla="*/ 1852953 h 4046989"/>
              <a:gd name="connsiteX13" fmla="*/ 1381149 w 2592895"/>
              <a:gd name="connsiteY13" fmla="*/ 2002632 h 4046989"/>
              <a:gd name="connsiteX14" fmla="*/ 1517221 w 2592895"/>
              <a:gd name="connsiteY14" fmla="*/ 2138703 h 4046989"/>
              <a:gd name="connsiteX15" fmla="*/ 1639685 w 2592895"/>
              <a:gd name="connsiteY15" fmla="*/ 2261167 h 4046989"/>
              <a:gd name="connsiteX16" fmla="*/ 1789363 w 2592895"/>
              <a:gd name="connsiteY16" fmla="*/ 2397239 h 4046989"/>
              <a:gd name="connsiteX17" fmla="*/ 1966256 w 2592895"/>
              <a:gd name="connsiteY17" fmla="*/ 2519703 h 4046989"/>
              <a:gd name="connsiteX18" fmla="*/ 1871006 w 2592895"/>
              <a:gd name="connsiteY18" fmla="*/ 2778239 h 4046989"/>
              <a:gd name="connsiteX19" fmla="*/ 1639685 w 2592895"/>
              <a:gd name="connsiteY19" fmla="*/ 2995953 h 4046989"/>
              <a:gd name="connsiteX20" fmla="*/ 1353935 w 2592895"/>
              <a:gd name="connsiteY20" fmla="*/ 3104810 h 4046989"/>
              <a:gd name="connsiteX21" fmla="*/ 932113 w 2592895"/>
              <a:gd name="connsiteY21" fmla="*/ 3077596 h 4046989"/>
              <a:gd name="connsiteX22" fmla="*/ 632756 w 2592895"/>
              <a:gd name="connsiteY22" fmla="*/ 2941524 h 4046989"/>
              <a:gd name="connsiteX23" fmla="*/ 292578 w 2592895"/>
              <a:gd name="connsiteY23" fmla="*/ 2723810 h 4046989"/>
              <a:gd name="connsiteX24" fmla="*/ 34042 w 2592895"/>
              <a:gd name="connsiteY24" fmla="*/ 2506096 h 4046989"/>
              <a:gd name="connsiteX25" fmla="*/ 47649 w 2592895"/>
              <a:gd name="connsiteY25" fmla="*/ 2859882 h 4046989"/>
              <a:gd name="connsiteX0" fmla="*/ 34042 w 2617177"/>
              <a:gd name="connsiteY0" fmla="*/ 2806698 h 4046282"/>
              <a:gd name="connsiteX1" fmla="*/ 34042 w 2617177"/>
              <a:gd name="connsiteY1" fmla="*/ 3800019 h 4046282"/>
              <a:gd name="connsiteX2" fmla="*/ 387828 w 2617177"/>
              <a:gd name="connsiteY2" fmla="*/ 4004127 h 4046282"/>
              <a:gd name="connsiteX3" fmla="*/ 2333649 w 2617177"/>
              <a:gd name="connsiteY3" fmla="*/ 4004127 h 4046282"/>
              <a:gd name="connsiteX4" fmla="*/ 2593185 w 2617177"/>
              <a:gd name="connsiteY4" fmla="*/ 3555298 h 4046282"/>
              <a:gd name="connsiteX5" fmla="*/ 2537756 w 2617177"/>
              <a:gd name="connsiteY5" fmla="*/ 439055 h 4046282"/>
              <a:gd name="connsiteX6" fmla="*/ 1993471 w 2617177"/>
              <a:gd name="connsiteY6" fmla="*/ 44448 h 4046282"/>
              <a:gd name="connsiteX7" fmla="*/ 1503613 w 2617177"/>
              <a:gd name="connsiteY7" fmla="*/ 643162 h 4046282"/>
              <a:gd name="connsiteX8" fmla="*/ 1068185 w 2617177"/>
              <a:gd name="connsiteY8" fmla="*/ 915305 h 4046282"/>
              <a:gd name="connsiteX9" fmla="*/ 932113 w 2617177"/>
              <a:gd name="connsiteY9" fmla="*/ 1064984 h 4046282"/>
              <a:gd name="connsiteX10" fmla="*/ 932113 w 2617177"/>
              <a:gd name="connsiteY10" fmla="*/ 1350734 h 4046282"/>
              <a:gd name="connsiteX11" fmla="*/ 1054578 w 2617177"/>
              <a:gd name="connsiteY11" fmla="*/ 1622877 h 4046282"/>
              <a:gd name="connsiteX12" fmla="*/ 1245078 w 2617177"/>
              <a:gd name="connsiteY12" fmla="*/ 1854198 h 4046282"/>
              <a:gd name="connsiteX13" fmla="*/ 1381149 w 2617177"/>
              <a:gd name="connsiteY13" fmla="*/ 2003877 h 4046282"/>
              <a:gd name="connsiteX14" fmla="*/ 1517221 w 2617177"/>
              <a:gd name="connsiteY14" fmla="*/ 2139948 h 4046282"/>
              <a:gd name="connsiteX15" fmla="*/ 1639685 w 2617177"/>
              <a:gd name="connsiteY15" fmla="*/ 2262412 h 4046282"/>
              <a:gd name="connsiteX16" fmla="*/ 1789363 w 2617177"/>
              <a:gd name="connsiteY16" fmla="*/ 2398484 h 4046282"/>
              <a:gd name="connsiteX17" fmla="*/ 1966256 w 2617177"/>
              <a:gd name="connsiteY17" fmla="*/ 2520948 h 4046282"/>
              <a:gd name="connsiteX18" fmla="*/ 1871006 w 2617177"/>
              <a:gd name="connsiteY18" fmla="*/ 2779484 h 4046282"/>
              <a:gd name="connsiteX19" fmla="*/ 1639685 w 2617177"/>
              <a:gd name="connsiteY19" fmla="*/ 2997198 h 4046282"/>
              <a:gd name="connsiteX20" fmla="*/ 1353935 w 2617177"/>
              <a:gd name="connsiteY20" fmla="*/ 3106055 h 4046282"/>
              <a:gd name="connsiteX21" fmla="*/ 932113 w 2617177"/>
              <a:gd name="connsiteY21" fmla="*/ 3078841 h 4046282"/>
              <a:gd name="connsiteX22" fmla="*/ 632756 w 2617177"/>
              <a:gd name="connsiteY22" fmla="*/ 2942769 h 4046282"/>
              <a:gd name="connsiteX23" fmla="*/ 292578 w 2617177"/>
              <a:gd name="connsiteY23" fmla="*/ 2725055 h 4046282"/>
              <a:gd name="connsiteX24" fmla="*/ 34042 w 2617177"/>
              <a:gd name="connsiteY24" fmla="*/ 2507341 h 4046282"/>
              <a:gd name="connsiteX25" fmla="*/ 47649 w 2617177"/>
              <a:gd name="connsiteY25" fmla="*/ 2861127 h 4046282"/>
              <a:gd name="connsiteX0" fmla="*/ 34042 w 2658900"/>
              <a:gd name="connsiteY0" fmla="*/ 2830980 h 4070563"/>
              <a:gd name="connsiteX1" fmla="*/ 34042 w 2658900"/>
              <a:gd name="connsiteY1" fmla="*/ 3824301 h 4070563"/>
              <a:gd name="connsiteX2" fmla="*/ 387828 w 2658900"/>
              <a:gd name="connsiteY2" fmla="*/ 4028409 h 4070563"/>
              <a:gd name="connsiteX3" fmla="*/ 2333649 w 2658900"/>
              <a:gd name="connsiteY3" fmla="*/ 4028409 h 4070563"/>
              <a:gd name="connsiteX4" fmla="*/ 2593185 w 2658900"/>
              <a:gd name="connsiteY4" fmla="*/ 3579580 h 4070563"/>
              <a:gd name="connsiteX5" fmla="*/ 2607458 w 2658900"/>
              <a:gd name="connsiteY5" fmla="*/ 408496 h 4070563"/>
              <a:gd name="connsiteX6" fmla="*/ 1993471 w 2658900"/>
              <a:gd name="connsiteY6" fmla="*/ 68730 h 4070563"/>
              <a:gd name="connsiteX7" fmla="*/ 1503613 w 2658900"/>
              <a:gd name="connsiteY7" fmla="*/ 667444 h 4070563"/>
              <a:gd name="connsiteX8" fmla="*/ 1068185 w 2658900"/>
              <a:gd name="connsiteY8" fmla="*/ 939587 h 4070563"/>
              <a:gd name="connsiteX9" fmla="*/ 932113 w 2658900"/>
              <a:gd name="connsiteY9" fmla="*/ 1089266 h 4070563"/>
              <a:gd name="connsiteX10" fmla="*/ 932113 w 2658900"/>
              <a:gd name="connsiteY10" fmla="*/ 1375016 h 4070563"/>
              <a:gd name="connsiteX11" fmla="*/ 1054578 w 2658900"/>
              <a:gd name="connsiteY11" fmla="*/ 1647159 h 4070563"/>
              <a:gd name="connsiteX12" fmla="*/ 1245078 w 2658900"/>
              <a:gd name="connsiteY12" fmla="*/ 1878480 h 4070563"/>
              <a:gd name="connsiteX13" fmla="*/ 1381149 w 2658900"/>
              <a:gd name="connsiteY13" fmla="*/ 2028159 h 4070563"/>
              <a:gd name="connsiteX14" fmla="*/ 1517221 w 2658900"/>
              <a:gd name="connsiteY14" fmla="*/ 2164230 h 4070563"/>
              <a:gd name="connsiteX15" fmla="*/ 1639685 w 2658900"/>
              <a:gd name="connsiteY15" fmla="*/ 2286694 h 4070563"/>
              <a:gd name="connsiteX16" fmla="*/ 1789363 w 2658900"/>
              <a:gd name="connsiteY16" fmla="*/ 2422766 h 4070563"/>
              <a:gd name="connsiteX17" fmla="*/ 1966256 w 2658900"/>
              <a:gd name="connsiteY17" fmla="*/ 2545230 h 4070563"/>
              <a:gd name="connsiteX18" fmla="*/ 1871006 w 2658900"/>
              <a:gd name="connsiteY18" fmla="*/ 2803766 h 4070563"/>
              <a:gd name="connsiteX19" fmla="*/ 1639685 w 2658900"/>
              <a:gd name="connsiteY19" fmla="*/ 3021480 h 4070563"/>
              <a:gd name="connsiteX20" fmla="*/ 1353935 w 2658900"/>
              <a:gd name="connsiteY20" fmla="*/ 3130337 h 4070563"/>
              <a:gd name="connsiteX21" fmla="*/ 932113 w 2658900"/>
              <a:gd name="connsiteY21" fmla="*/ 3103123 h 4070563"/>
              <a:gd name="connsiteX22" fmla="*/ 632756 w 2658900"/>
              <a:gd name="connsiteY22" fmla="*/ 2967051 h 4070563"/>
              <a:gd name="connsiteX23" fmla="*/ 292578 w 2658900"/>
              <a:gd name="connsiteY23" fmla="*/ 2749337 h 4070563"/>
              <a:gd name="connsiteX24" fmla="*/ 34042 w 2658900"/>
              <a:gd name="connsiteY24" fmla="*/ 2531623 h 4070563"/>
              <a:gd name="connsiteX25" fmla="*/ 47649 w 2658900"/>
              <a:gd name="connsiteY25" fmla="*/ 2885409 h 4070563"/>
              <a:gd name="connsiteX0" fmla="*/ 34042 w 2634762"/>
              <a:gd name="connsiteY0" fmla="*/ 2835485 h 4075068"/>
              <a:gd name="connsiteX1" fmla="*/ 34042 w 2634762"/>
              <a:gd name="connsiteY1" fmla="*/ 3828806 h 4075068"/>
              <a:gd name="connsiteX2" fmla="*/ 387828 w 2634762"/>
              <a:gd name="connsiteY2" fmla="*/ 4032914 h 4075068"/>
              <a:gd name="connsiteX3" fmla="*/ 2333649 w 2634762"/>
              <a:gd name="connsiteY3" fmla="*/ 4032914 h 4075068"/>
              <a:gd name="connsiteX4" fmla="*/ 2593185 w 2634762"/>
              <a:gd name="connsiteY4" fmla="*/ 3584085 h 4075068"/>
              <a:gd name="connsiteX5" fmla="*/ 2607458 w 2634762"/>
              <a:gd name="connsiteY5" fmla="*/ 413001 h 4075068"/>
              <a:gd name="connsiteX6" fmla="*/ 1993471 w 2634762"/>
              <a:gd name="connsiteY6" fmla="*/ 73235 h 4075068"/>
              <a:gd name="connsiteX7" fmla="*/ 1503613 w 2634762"/>
              <a:gd name="connsiteY7" fmla="*/ 671949 h 4075068"/>
              <a:gd name="connsiteX8" fmla="*/ 1068185 w 2634762"/>
              <a:gd name="connsiteY8" fmla="*/ 944092 h 4075068"/>
              <a:gd name="connsiteX9" fmla="*/ 932113 w 2634762"/>
              <a:gd name="connsiteY9" fmla="*/ 1093771 h 4075068"/>
              <a:gd name="connsiteX10" fmla="*/ 932113 w 2634762"/>
              <a:gd name="connsiteY10" fmla="*/ 1379521 h 4075068"/>
              <a:gd name="connsiteX11" fmla="*/ 1054578 w 2634762"/>
              <a:gd name="connsiteY11" fmla="*/ 1651664 h 4075068"/>
              <a:gd name="connsiteX12" fmla="*/ 1245078 w 2634762"/>
              <a:gd name="connsiteY12" fmla="*/ 1882985 h 4075068"/>
              <a:gd name="connsiteX13" fmla="*/ 1381149 w 2634762"/>
              <a:gd name="connsiteY13" fmla="*/ 2032664 h 4075068"/>
              <a:gd name="connsiteX14" fmla="*/ 1517221 w 2634762"/>
              <a:gd name="connsiteY14" fmla="*/ 2168735 h 4075068"/>
              <a:gd name="connsiteX15" fmla="*/ 1639685 w 2634762"/>
              <a:gd name="connsiteY15" fmla="*/ 2291199 h 4075068"/>
              <a:gd name="connsiteX16" fmla="*/ 1789363 w 2634762"/>
              <a:gd name="connsiteY16" fmla="*/ 2427271 h 4075068"/>
              <a:gd name="connsiteX17" fmla="*/ 1966256 w 2634762"/>
              <a:gd name="connsiteY17" fmla="*/ 2549735 h 4075068"/>
              <a:gd name="connsiteX18" fmla="*/ 1871006 w 2634762"/>
              <a:gd name="connsiteY18" fmla="*/ 2808271 h 4075068"/>
              <a:gd name="connsiteX19" fmla="*/ 1639685 w 2634762"/>
              <a:gd name="connsiteY19" fmla="*/ 3025985 h 4075068"/>
              <a:gd name="connsiteX20" fmla="*/ 1353935 w 2634762"/>
              <a:gd name="connsiteY20" fmla="*/ 3134842 h 4075068"/>
              <a:gd name="connsiteX21" fmla="*/ 932113 w 2634762"/>
              <a:gd name="connsiteY21" fmla="*/ 3107628 h 4075068"/>
              <a:gd name="connsiteX22" fmla="*/ 632756 w 2634762"/>
              <a:gd name="connsiteY22" fmla="*/ 2971556 h 4075068"/>
              <a:gd name="connsiteX23" fmla="*/ 292578 w 2634762"/>
              <a:gd name="connsiteY23" fmla="*/ 2753842 h 4075068"/>
              <a:gd name="connsiteX24" fmla="*/ 34042 w 2634762"/>
              <a:gd name="connsiteY24" fmla="*/ 2536128 h 4075068"/>
              <a:gd name="connsiteX25" fmla="*/ 47649 w 2634762"/>
              <a:gd name="connsiteY25" fmla="*/ 2889914 h 4075068"/>
              <a:gd name="connsiteX0" fmla="*/ 34042 w 2658900"/>
              <a:gd name="connsiteY0" fmla="*/ 2831725 h 4070334"/>
              <a:gd name="connsiteX1" fmla="*/ 34042 w 2658900"/>
              <a:gd name="connsiteY1" fmla="*/ 3825046 h 4070334"/>
              <a:gd name="connsiteX2" fmla="*/ 387828 w 2658900"/>
              <a:gd name="connsiteY2" fmla="*/ 4029154 h 4070334"/>
              <a:gd name="connsiteX3" fmla="*/ 2333649 w 2658900"/>
              <a:gd name="connsiteY3" fmla="*/ 4029154 h 4070334"/>
              <a:gd name="connsiteX4" fmla="*/ 2593185 w 2658900"/>
              <a:gd name="connsiteY4" fmla="*/ 3594036 h 4070334"/>
              <a:gd name="connsiteX5" fmla="*/ 2607458 w 2658900"/>
              <a:gd name="connsiteY5" fmla="*/ 409241 h 4070334"/>
              <a:gd name="connsiteX6" fmla="*/ 1993471 w 2658900"/>
              <a:gd name="connsiteY6" fmla="*/ 69475 h 4070334"/>
              <a:gd name="connsiteX7" fmla="*/ 1503613 w 2658900"/>
              <a:gd name="connsiteY7" fmla="*/ 668189 h 4070334"/>
              <a:gd name="connsiteX8" fmla="*/ 1068185 w 2658900"/>
              <a:gd name="connsiteY8" fmla="*/ 940332 h 4070334"/>
              <a:gd name="connsiteX9" fmla="*/ 932113 w 2658900"/>
              <a:gd name="connsiteY9" fmla="*/ 1090011 h 4070334"/>
              <a:gd name="connsiteX10" fmla="*/ 932113 w 2658900"/>
              <a:gd name="connsiteY10" fmla="*/ 1375761 h 4070334"/>
              <a:gd name="connsiteX11" fmla="*/ 1054578 w 2658900"/>
              <a:gd name="connsiteY11" fmla="*/ 1647904 h 4070334"/>
              <a:gd name="connsiteX12" fmla="*/ 1245078 w 2658900"/>
              <a:gd name="connsiteY12" fmla="*/ 1879225 h 4070334"/>
              <a:gd name="connsiteX13" fmla="*/ 1381149 w 2658900"/>
              <a:gd name="connsiteY13" fmla="*/ 2028904 h 4070334"/>
              <a:gd name="connsiteX14" fmla="*/ 1517221 w 2658900"/>
              <a:gd name="connsiteY14" fmla="*/ 2164975 h 4070334"/>
              <a:gd name="connsiteX15" fmla="*/ 1639685 w 2658900"/>
              <a:gd name="connsiteY15" fmla="*/ 2287439 h 4070334"/>
              <a:gd name="connsiteX16" fmla="*/ 1789363 w 2658900"/>
              <a:gd name="connsiteY16" fmla="*/ 2423511 h 4070334"/>
              <a:gd name="connsiteX17" fmla="*/ 1966256 w 2658900"/>
              <a:gd name="connsiteY17" fmla="*/ 2545975 h 4070334"/>
              <a:gd name="connsiteX18" fmla="*/ 1871006 w 2658900"/>
              <a:gd name="connsiteY18" fmla="*/ 2804511 h 4070334"/>
              <a:gd name="connsiteX19" fmla="*/ 1639685 w 2658900"/>
              <a:gd name="connsiteY19" fmla="*/ 3022225 h 4070334"/>
              <a:gd name="connsiteX20" fmla="*/ 1353935 w 2658900"/>
              <a:gd name="connsiteY20" fmla="*/ 3131082 h 4070334"/>
              <a:gd name="connsiteX21" fmla="*/ 932113 w 2658900"/>
              <a:gd name="connsiteY21" fmla="*/ 3103868 h 4070334"/>
              <a:gd name="connsiteX22" fmla="*/ 632756 w 2658900"/>
              <a:gd name="connsiteY22" fmla="*/ 2967796 h 4070334"/>
              <a:gd name="connsiteX23" fmla="*/ 292578 w 2658900"/>
              <a:gd name="connsiteY23" fmla="*/ 2750082 h 4070334"/>
              <a:gd name="connsiteX24" fmla="*/ 34042 w 2658900"/>
              <a:gd name="connsiteY24" fmla="*/ 2532368 h 4070334"/>
              <a:gd name="connsiteX25" fmla="*/ 47649 w 2658900"/>
              <a:gd name="connsiteY25" fmla="*/ 2886154 h 4070334"/>
              <a:gd name="connsiteX0" fmla="*/ 34042 w 2652127"/>
              <a:gd name="connsiteY0" fmla="*/ 2831725 h 4070335"/>
              <a:gd name="connsiteX1" fmla="*/ 34042 w 2652127"/>
              <a:gd name="connsiteY1" fmla="*/ 3825046 h 4070335"/>
              <a:gd name="connsiteX2" fmla="*/ 387828 w 2652127"/>
              <a:gd name="connsiteY2" fmla="*/ 4029154 h 4070335"/>
              <a:gd name="connsiteX3" fmla="*/ 2333649 w 2652127"/>
              <a:gd name="connsiteY3" fmla="*/ 4029154 h 4070335"/>
              <a:gd name="connsiteX4" fmla="*/ 2593185 w 2652127"/>
              <a:gd name="connsiteY4" fmla="*/ 3594036 h 4070335"/>
              <a:gd name="connsiteX5" fmla="*/ 2607458 w 2652127"/>
              <a:gd name="connsiteY5" fmla="*/ 409241 h 4070335"/>
              <a:gd name="connsiteX6" fmla="*/ 1993471 w 2652127"/>
              <a:gd name="connsiteY6" fmla="*/ 69475 h 4070335"/>
              <a:gd name="connsiteX7" fmla="*/ 1503613 w 2652127"/>
              <a:gd name="connsiteY7" fmla="*/ 668189 h 4070335"/>
              <a:gd name="connsiteX8" fmla="*/ 1068185 w 2652127"/>
              <a:gd name="connsiteY8" fmla="*/ 940332 h 4070335"/>
              <a:gd name="connsiteX9" fmla="*/ 932113 w 2652127"/>
              <a:gd name="connsiteY9" fmla="*/ 1090011 h 4070335"/>
              <a:gd name="connsiteX10" fmla="*/ 932113 w 2652127"/>
              <a:gd name="connsiteY10" fmla="*/ 1375761 h 4070335"/>
              <a:gd name="connsiteX11" fmla="*/ 1054578 w 2652127"/>
              <a:gd name="connsiteY11" fmla="*/ 1647904 h 4070335"/>
              <a:gd name="connsiteX12" fmla="*/ 1245078 w 2652127"/>
              <a:gd name="connsiteY12" fmla="*/ 1879225 h 4070335"/>
              <a:gd name="connsiteX13" fmla="*/ 1381149 w 2652127"/>
              <a:gd name="connsiteY13" fmla="*/ 2028904 h 4070335"/>
              <a:gd name="connsiteX14" fmla="*/ 1517221 w 2652127"/>
              <a:gd name="connsiteY14" fmla="*/ 2164975 h 4070335"/>
              <a:gd name="connsiteX15" fmla="*/ 1639685 w 2652127"/>
              <a:gd name="connsiteY15" fmla="*/ 2287439 h 4070335"/>
              <a:gd name="connsiteX16" fmla="*/ 1789363 w 2652127"/>
              <a:gd name="connsiteY16" fmla="*/ 2423511 h 4070335"/>
              <a:gd name="connsiteX17" fmla="*/ 1966256 w 2652127"/>
              <a:gd name="connsiteY17" fmla="*/ 2545975 h 4070335"/>
              <a:gd name="connsiteX18" fmla="*/ 1871006 w 2652127"/>
              <a:gd name="connsiteY18" fmla="*/ 2804511 h 4070335"/>
              <a:gd name="connsiteX19" fmla="*/ 1639685 w 2652127"/>
              <a:gd name="connsiteY19" fmla="*/ 3022225 h 4070335"/>
              <a:gd name="connsiteX20" fmla="*/ 1353935 w 2652127"/>
              <a:gd name="connsiteY20" fmla="*/ 3131082 h 4070335"/>
              <a:gd name="connsiteX21" fmla="*/ 932113 w 2652127"/>
              <a:gd name="connsiteY21" fmla="*/ 3103868 h 4070335"/>
              <a:gd name="connsiteX22" fmla="*/ 632756 w 2652127"/>
              <a:gd name="connsiteY22" fmla="*/ 2967796 h 4070335"/>
              <a:gd name="connsiteX23" fmla="*/ 292578 w 2652127"/>
              <a:gd name="connsiteY23" fmla="*/ 2750082 h 4070335"/>
              <a:gd name="connsiteX24" fmla="*/ 34042 w 2652127"/>
              <a:gd name="connsiteY24" fmla="*/ 2532368 h 4070335"/>
              <a:gd name="connsiteX25" fmla="*/ 47649 w 2652127"/>
              <a:gd name="connsiteY25" fmla="*/ 2886154 h 4070335"/>
              <a:gd name="connsiteX0" fmla="*/ 34042 w 2644201"/>
              <a:gd name="connsiteY0" fmla="*/ 2831725 h 4070335"/>
              <a:gd name="connsiteX1" fmla="*/ 34042 w 2644201"/>
              <a:gd name="connsiteY1" fmla="*/ 3825046 h 4070335"/>
              <a:gd name="connsiteX2" fmla="*/ 387828 w 2644201"/>
              <a:gd name="connsiteY2" fmla="*/ 4029154 h 4070335"/>
              <a:gd name="connsiteX3" fmla="*/ 2333649 w 2644201"/>
              <a:gd name="connsiteY3" fmla="*/ 4029154 h 4070335"/>
              <a:gd name="connsiteX4" fmla="*/ 2593185 w 2644201"/>
              <a:gd name="connsiteY4" fmla="*/ 3594036 h 4070335"/>
              <a:gd name="connsiteX5" fmla="*/ 2607458 w 2644201"/>
              <a:gd name="connsiteY5" fmla="*/ 409241 h 4070335"/>
              <a:gd name="connsiteX6" fmla="*/ 1993471 w 2644201"/>
              <a:gd name="connsiteY6" fmla="*/ 69475 h 4070335"/>
              <a:gd name="connsiteX7" fmla="*/ 1503613 w 2644201"/>
              <a:gd name="connsiteY7" fmla="*/ 668189 h 4070335"/>
              <a:gd name="connsiteX8" fmla="*/ 1068185 w 2644201"/>
              <a:gd name="connsiteY8" fmla="*/ 940332 h 4070335"/>
              <a:gd name="connsiteX9" fmla="*/ 932113 w 2644201"/>
              <a:gd name="connsiteY9" fmla="*/ 1090011 h 4070335"/>
              <a:gd name="connsiteX10" fmla="*/ 932113 w 2644201"/>
              <a:gd name="connsiteY10" fmla="*/ 1375761 h 4070335"/>
              <a:gd name="connsiteX11" fmla="*/ 1054578 w 2644201"/>
              <a:gd name="connsiteY11" fmla="*/ 1647904 h 4070335"/>
              <a:gd name="connsiteX12" fmla="*/ 1245078 w 2644201"/>
              <a:gd name="connsiteY12" fmla="*/ 1879225 h 4070335"/>
              <a:gd name="connsiteX13" fmla="*/ 1381149 w 2644201"/>
              <a:gd name="connsiteY13" fmla="*/ 2028904 h 4070335"/>
              <a:gd name="connsiteX14" fmla="*/ 1517221 w 2644201"/>
              <a:gd name="connsiteY14" fmla="*/ 2164975 h 4070335"/>
              <a:gd name="connsiteX15" fmla="*/ 1639685 w 2644201"/>
              <a:gd name="connsiteY15" fmla="*/ 2287439 h 4070335"/>
              <a:gd name="connsiteX16" fmla="*/ 1789363 w 2644201"/>
              <a:gd name="connsiteY16" fmla="*/ 2423511 h 4070335"/>
              <a:gd name="connsiteX17" fmla="*/ 1966256 w 2644201"/>
              <a:gd name="connsiteY17" fmla="*/ 2545975 h 4070335"/>
              <a:gd name="connsiteX18" fmla="*/ 1871006 w 2644201"/>
              <a:gd name="connsiteY18" fmla="*/ 2804511 h 4070335"/>
              <a:gd name="connsiteX19" fmla="*/ 1639685 w 2644201"/>
              <a:gd name="connsiteY19" fmla="*/ 3022225 h 4070335"/>
              <a:gd name="connsiteX20" fmla="*/ 1353935 w 2644201"/>
              <a:gd name="connsiteY20" fmla="*/ 3131082 h 4070335"/>
              <a:gd name="connsiteX21" fmla="*/ 932113 w 2644201"/>
              <a:gd name="connsiteY21" fmla="*/ 3103868 h 4070335"/>
              <a:gd name="connsiteX22" fmla="*/ 632756 w 2644201"/>
              <a:gd name="connsiteY22" fmla="*/ 2967796 h 4070335"/>
              <a:gd name="connsiteX23" fmla="*/ 292578 w 2644201"/>
              <a:gd name="connsiteY23" fmla="*/ 2750082 h 4070335"/>
              <a:gd name="connsiteX24" fmla="*/ 34042 w 2644201"/>
              <a:gd name="connsiteY24" fmla="*/ 2532368 h 4070335"/>
              <a:gd name="connsiteX25" fmla="*/ 47649 w 2644201"/>
              <a:gd name="connsiteY25" fmla="*/ 2886154 h 4070335"/>
              <a:gd name="connsiteX0" fmla="*/ 34042 w 2660795"/>
              <a:gd name="connsiteY0" fmla="*/ 2831725 h 4090276"/>
              <a:gd name="connsiteX1" fmla="*/ 34042 w 2660795"/>
              <a:gd name="connsiteY1" fmla="*/ 3825046 h 4090276"/>
              <a:gd name="connsiteX2" fmla="*/ 387828 w 2660795"/>
              <a:gd name="connsiteY2" fmla="*/ 4029154 h 4090276"/>
              <a:gd name="connsiteX3" fmla="*/ 2291828 w 2660795"/>
              <a:gd name="connsiteY3" fmla="*/ 4056575 h 4090276"/>
              <a:gd name="connsiteX4" fmla="*/ 2593185 w 2660795"/>
              <a:gd name="connsiteY4" fmla="*/ 3594036 h 4090276"/>
              <a:gd name="connsiteX5" fmla="*/ 2607458 w 2660795"/>
              <a:gd name="connsiteY5" fmla="*/ 409241 h 4090276"/>
              <a:gd name="connsiteX6" fmla="*/ 1993471 w 2660795"/>
              <a:gd name="connsiteY6" fmla="*/ 69475 h 4090276"/>
              <a:gd name="connsiteX7" fmla="*/ 1503613 w 2660795"/>
              <a:gd name="connsiteY7" fmla="*/ 668189 h 4090276"/>
              <a:gd name="connsiteX8" fmla="*/ 1068185 w 2660795"/>
              <a:gd name="connsiteY8" fmla="*/ 940332 h 4090276"/>
              <a:gd name="connsiteX9" fmla="*/ 932113 w 2660795"/>
              <a:gd name="connsiteY9" fmla="*/ 1090011 h 4090276"/>
              <a:gd name="connsiteX10" fmla="*/ 932113 w 2660795"/>
              <a:gd name="connsiteY10" fmla="*/ 1375761 h 4090276"/>
              <a:gd name="connsiteX11" fmla="*/ 1054578 w 2660795"/>
              <a:gd name="connsiteY11" fmla="*/ 1647904 h 4090276"/>
              <a:gd name="connsiteX12" fmla="*/ 1245078 w 2660795"/>
              <a:gd name="connsiteY12" fmla="*/ 1879225 h 4090276"/>
              <a:gd name="connsiteX13" fmla="*/ 1381149 w 2660795"/>
              <a:gd name="connsiteY13" fmla="*/ 2028904 h 4090276"/>
              <a:gd name="connsiteX14" fmla="*/ 1517221 w 2660795"/>
              <a:gd name="connsiteY14" fmla="*/ 2164975 h 4090276"/>
              <a:gd name="connsiteX15" fmla="*/ 1639685 w 2660795"/>
              <a:gd name="connsiteY15" fmla="*/ 2287439 h 4090276"/>
              <a:gd name="connsiteX16" fmla="*/ 1789363 w 2660795"/>
              <a:gd name="connsiteY16" fmla="*/ 2423511 h 4090276"/>
              <a:gd name="connsiteX17" fmla="*/ 1966256 w 2660795"/>
              <a:gd name="connsiteY17" fmla="*/ 2545975 h 4090276"/>
              <a:gd name="connsiteX18" fmla="*/ 1871006 w 2660795"/>
              <a:gd name="connsiteY18" fmla="*/ 2804511 h 4090276"/>
              <a:gd name="connsiteX19" fmla="*/ 1639685 w 2660795"/>
              <a:gd name="connsiteY19" fmla="*/ 3022225 h 4090276"/>
              <a:gd name="connsiteX20" fmla="*/ 1353935 w 2660795"/>
              <a:gd name="connsiteY20" fmla="*/ 3131082 h 4090276"/>
              <a:gd name="connsiteX21" fmla="*/ 932113 w 2660795"/>
              <a:gd name="connsiteY21" fmla="*/ 3103868 h 4090276"/>
              <a:gd name="connsiteX22" fmla="*/ 632756 w 2660795"/>
              <a:gd name="connsiteY22" fmla="*/ 2967796 h 4090276"/>
              <a:gd name="connsiteX23" fmla="*/ 292578 w 2660795"/>
              <a:gd name="connsiteY23" fmla="*/ 2750082 h 4090276"/>
              <a:gd name="connsiteX24" fmla="*/ 34042 w 2660795"/>
              <a:gd name="connsiteY24" fmla="*/ 2532368 h 4090276"/>
              <a:gd name="connsiteX25" fmla="*/ 47649 w 2660795"/>
              <a:gd name="connsiteY25" fmla="*/ 2886154 h 4090276"/>
              <a:gd name="connsiteX0" fmla="*/ 34042 w 2660795"/>
              <a:gd name="connsiteY0" fmla="*/ 2831725 h 4078091"/>
              <a:gd name="connsiteX1" fmla="*/ 34042 w 2660795"/>
              <a:gd name="connsiteY1" fmla="*/ 3825046 h 4078091"/>
              <a:gd name="connsiteX2" fmla="*/ 387828 w 2660795"/>
              <a:gd name="connsiteY2" fmla="*/ 4029154 h 4078091"/>
              <a:gd name="connsiteX3" fmla="*/ 2291828 w 2660795"/>
              <a:gd name="connsiteY3" fmla="*/ 4056575 h 4078091"/>
              <a:gd name="connsiteX4" fmla="*/ 2593185 w 2660795"/>
              <a:gd name="connsiteY4" fmla="*/ 3594036 h 4078091"/>
              <a:gd name="connsiteX5" fmla="*/ 2607458 w 2660795"/>
              <a:gd name="connsiteY5" fmla="*/ 409241 h 4078091"/>
              <a:gd name="connsiteX6" fmla="*/ 1993471 w 2660795"/>
              <a:gd name="connsiteY6" fmla="*/ 69475 h 4078091"/>
              <a:gd name="connsiteX7" fmla="*/ 1503613 w 2660795"/>
              <a:gd name="connsiteY7" fmla="*/ 668189 h 4078091"/>
              <a:gd name="connsiteX8" fmla="*/ 1068185 w 2660795"/>
              <a:gd name="connsiteY8" fmla="*/ 940332 h 4078091"/>
              <a:gd name="connsiteX9" fmla="*/ 932113 w 2660795"/>
              <a:gd name="connsiteY9" fmla="*/ 1090011 h 4078091"/>
              <a:gd name="connsiteX10" fmla="*/ 932113 w 2660795"/>
              <a:gd name="connsiteY10" fmla="*/ 1375761 h 4078091"/>
              <a:gd name="connsiteX11" fmla="*/ 1054578 w 2660795"/>
              <a:gd name="connsiteY11" fmla="*/ 1647904 h 4078091"/>
              <a:gd name="connsiteX12" fmla="*/ 1245078 w 2660795"/>
              <a:gd name="connsiteY12" fmla="*/ 1879225 h 4078091"/>
              <a:gd name="connsiteX13" fmla="*/ 1381149 w 2660795"/>
              <a:gd name="connsiteY13" fmla="*/ 2028904 h 4078091"/>
              <a:gd name="connsiteX14" fmla="*/ 1517221 w 2660795"/>
              <a:gd name="connsiteY14" fmla="*/ 2164975 h 4078091"/>
              <a:gd name="connsiteX15" fmla="*/ 1639685 w 2660795"/>
              <a:gd name="connsiteY15" fmla="*/ 2287439 h 4078091"/>
              <a:gd name="connsiteX16" fmla="*/ 1789363 w 2660795"/>
              <a:gd name="connsiteY16" fmla="*/ 2423511 h 4078091"/>
              <a:gd name="connsiteX17" fmla="*/ 1966256 w 2660795"/>
              <a:gd name="connsiteY17" fmla="*/ 2545975 h 4078091"/>
              <a:gd name="connsiteX18" fmla="*/ 1871006 w 2660795"/>
              <a:gd name="connsiteY18" fmla="*/ 2804511 h 4078091"/>
              <a:gd name="connsiteX19" fmla="*/ 1639685 w 2660795"/>
              <a:gd name="connsiteY19" fmla="*/ 3022225 h 4078091"/>
              <a:gd name="connsiteX20" fmla="*/ 1353935 w 2660795"/>
              <a:gd name="connsiteY20" fmla="*/ 3131082 h 4078091"/>
              <a:gd name="connsiteX21" fmla="*/ 932113 w 2660795"/>
              <a:gd name="connsiteY21" fmla="*/ 3103868 h 4078091"/>
              <a:gd name="connsiteX22" fmla="*/ 632756 w 2660795"/>
              <a:gd name="connsiteY22" fmla="*/ 2967796 h 4078091"/>
              <a:gd name="connsiteX23" fmla="*/ 292578 w 2660795"/>
              <a:gd name="connsiteY23" fmla="*/ 2750082 h 4078091"/>
              <a:gd name="connsiteX24" fmla="*/ 34042 w 2660795"/>
              <a:gd name="connsiteY24" fmla="*/ 2532368 h 4078091"/>
              <a:gd name="connsiteX25" fmla="*/ 47649 w 2660795"/>
              <a:gd name="connsiteY25" fmla="*/ 2886154 h 4078091"/>
              <a:gd name="connsiteX0" fmla="*/ 33064 w 2659817"/>
              <a:gd name="connsiteY0" fmla="*/ 2831725 h 4090276"/>
              <a:gd name="connsiteX1" fmla="*/ 33064 w 2659817"/>
              <a:gd name="connsiteY1" fmla="*/ 3825046 h 4090276"/>
              <a:gd name="connsiteX2" fmla="*/ 372910 w 2659817"/>
              <a:gd name="connsiteY2" fmla="*/ 4029154 h 4090276"/>
              <a:gd name="connsiteX3" fmla="*/ 2290850 w 2659817"/>
              <a:gd name="connsiteY3" fmla="*/ 4056575 h 4090276"/>
              <a:gd name="connsiteX4" fmla="*/ 2592207 w 2659817"/>
              <a:gd name="connsiteY4" fmla="*/ 3594036 h 4090276"/>
              <a:gd name="connsiteX5" fmla="*/ 2606480 w 2659817"/>
              <a:gd name="connsiteY5" fmla="*/ 409241 h 4090276"/>
              <a:gd name="connsiteX6" fmla="*/ 1992493 w 2659817"/>
              <a:gd name="connsiteY6" fmla="*/ 69475 h 4090276"/>
              <a:gd name="connsiteX7" fmla="*/ 1502635 w 2659817"/>
              <a:gd name="connsiteY7" fmla="*/ 668189 h 4090276"/>
              <a:gd name="connsiteX8" fmla="*/ 1067207 w 2659817"/>
              <a:gd name="connsiteY8" fmla="*/ 940332 h 4090276"/>
              <a:gd name="connsiteX9" fmla="*/ 931135 w 2659817"/>
              <a:gd name="connsiteY9" fmla="*/ 1090011 h 4090276"/>
              <a:gd name="connsiteX10" fmla="*/ 931135 w 2659817"/>
              <a:gd name="connsiteY10" fmla="*/ 1375761 h 4090276"/>
              <a:gd name="connsiteX11" fmla="*/ 1053600 w 2659817"/>
              <a:gd name="connsiteY11" fmla="*/ 1647904 h 4090276"/>
              <a:gd name="connsiteX12" fmla="*/ 1244100 w 2659817"/>
              <a:gd name="connsiteY12" fmla="*/ 1879225 h 4090276"/>
              <a:gd name="connsiteX13" fmla="*/ 1380171 w 2659817"/>
              <a:gd name="connsiteY13" fmla="*/ 2028904 h 4090276"/>
              <a:gd name="connsiteX14" fmla="*/ 1516243 w 2659817"/>
              <a:gd name="connsiteY14" fmla="*/ 2164975 h 4090276"/>
              <a:gd name="connsiteX15" fmla="*/ 1638707 w 2659817"/>
              <a:gd name="connsiteY15" fmla="*/ 2287439 h 4090276"/>
              <a:gd name="connsiteX16" fmla="*/ 1788385 w 2659817"/>
              <a:gd name="connsiteY16" fmla="*/ 2423511 h 4090276"/>
              <a:gd name="connsiteX17" fmla="*/ 1965278 w 2659817"/>
              <a:gd name="connsiteY17" fmla="*/ 2545975 h 4090276"/>
              <a:gd name="connsiteX18" fmla="*/ 1870028 w 2659817"/>
              <a:gd name="connsiteY18" fmla="*/ 2804511 h 4090276"/>
              <a:gd name="connsiteX19" fmla="*/ 1638707 w 2659817"/>
              <a:gd name="connsiteY19" fmla="*/ 3022225 h 4090276"/>
              <a:gd name="connsiteX20" fmla="*/ 1352957 w 2659817"/>
              <a:gd name="connsiteY20" fmla="*/ 3131082 h 4090276"/>
              <a:gd name="connsiteX21" fmla="*/ 931135 w 2659817"/>
              <a:gd name="connsiteY21" fmla="*/ 3103868 h 4090276"/>
              <a:gd name="connsiteX22" fmla="*/ 631778 w 2659817"/>
              <a:gd name="connsiteY22" fmla="*/ 2967796 h 4090276"/>
              <a:gd name="connsiteX23" fmla="*/ 291600 w 2659817"/>
              <a:gd name="connsiteY23" fmla="*/ 2750082 h 4090276"/>
              <a:gd name="connsiteX24" fmla="*/ 33064 w 2659817"/>
              <a:gd name="connsiteY24" fmla="*/ 2532368 h 4090276"/>
              <a:gd name="connsiteX25" fmla="*/ 46671 w 2659817"/>
              <a:gd name="connsiteY25" fmla="*/ 2886154 h 4090276"/>
              <a:gd name="connsiteX0" fmla="*/ 33064 w 2659817"/>
              <a:gd name="connsiteY0" fmla="*/ 2831725 h 4080620"/>
              <a:gd name="connsiteX1" fmla="*/ 33064 w 2659817"/>
              <a:gd name="connsiteY1" fmla="*/ 3825046 h 4080620"/>
              <a:gd name="connsiteX2" fmla="*/ 372910 w 2659817"/>
              <a:gd name="connsiteY2" fmla="*/ 4029154 h 4080620"/>
              <a:gd name="connsiteX3" fmla="*/ 2290850 w 2659817"/>
              <a:gd name="connsiteY3" fmla="*/ 4056575 h 4080620"/>
              <a:gd name="connsiteX4" fmla="*/ 2592207 w 2659817"/>
              <a:gd name="connsiteY4" fmla="*/ 3594036 h 4080620"/>
              <a:gd name="connsiteX5" fmla="*/ 2606480 w 2659817"/>
              <a:gd name="connsiteY5" fmla="*/ 409241 h 4080620"/>
              <a:gd name="connsiteX6" fmla="*/ 1992493 w 2659817"/>
              <a:gd name="connsiteY6" fmla="*/ 69475 h 4080620"/>
              <a:gd name="connsiteX7" fmla="*/ 1502635 w 2659817"/>
              <a:gd name="connsiteY7" fmla="*/ 668189 h 4080620"/>
              <a:gd name="connsiteX8" fmla="*/ 1067207 w 2659817"/>
              <a:gd name="connsiteY8" fmla="*/ 940332 h 4080620"/>
              <a:gd name="connsiteX9" fmla="*/ 931135 w 2659817"/>
              <a:gd name="connsiteY9" fmla="*/ 1090011 h 4080620"/>
              <a:gd name="connsiteX10" fmla="*/ 931135 w 2659817"/>
              <a:gd name="connsiteY10" fmla="*/ 1375761 h 4080620"/>
              <a:gd name="connsiteX11" fmla="*/ 1053600 w 2659817"/>
              <a:gd name="connsiteY11" fmla="*/ 1647904 h 4080620"/>
              <a:gd name="connsiteX12" fmla="*/ 1244100 w 2659817"/>
              <a:gd name="connsiteY12" fmla="*/ 1879225 h 4080620"/>
              <a:gd name="connsiteX13" fmla="*/ 1380171 w 2659817"/>
              <a:gd name="connsiteY13" fmla="*/ 2028904 h 4080620"/>
              <a:gd name="connsiteX14" fmla="*/ 1516243 w 2659817"/>
              <a:gd name="connsiteY14" fmla="*/ 2164975 h 4080620"/>
              <a:gd name="connsiteX15" fmla="*/ 1638707 w 2659817"/>
              <a:gd name="connsiteY15" fmla="*/ 2287439 h 4080620"/>
              <a:gd name="connsiteX16" fmla="*/ 1788385 w 2659817"/>
              <a:gd name="connsiteY16" fmla="*/ 2423511 h 4080620"/>
              <a:gd name="connsiteX17" fmla="*/ 1965278 w 2659817"/>
              <a:gd name="connsiteY17" fmla="*/ 2545975 h 4080620"/>
              <a:gd name="connsiteX18" fmla="*/ 1870028 w 2659817"/>
              <a:gd name="connsiteY18" fmla="*/ 2804511 h 4080620"/>
              <a:gd name="connsiteX19" fmla="*/ 1638707 w 2659817"/>
              <a:gd name="connsiteY19" fmla="*/ 3022225 h 4080620"/>
              <a:gd name="connsiteX20" fmla="*/ 1352957 w 2659817"/>
              <a:gd name="connsiteY20" fmla="*/ 3131082 h 4080620"/>
              <a:gd name="connsiteX21" fmla="*/ 931135 w 2659817"/>
              <a:gd name="connsiteY21" fmla="*/ 3103868 h 4080620"/>
              <a:gd name="connsiteX22" fmla="*/ 631778 w 2659817"/>
              <a:gd name="connsiteY22" fmla="*/ 2967796 h 4080620"/>
              <a:gd name="connsiteX23" fmla="*/ 291600 w 2659817"/>
              <a:gd name="connsiteY23" fmla="*/ 2750082 h 4080620"/>
              <a:gd name="connsiteX24" fmla="*/ 33064 w 2659817"/>
              <a:gd name="connsiteY24" fmla="*/ 2532368 h 4080620"/>
              <a:gd name="connsiteX25" fmla="*/ 46671 w 2659817"/>
              <a:gd name="connsiteY25" fmla="*/ 2886154 h 4080620"/>
              <a:gd name="connsiteX0" fmla="*/ 25327 w 2652080"/>
              <a:gd name="connsiteY0" fmla="*/ 2831725 h 4089764"/>
              <a:gd name="connsiteX1" fmla="*/ 39267 w 2652080"/>
              <a:gd name="connsiteY1" fmla="*/ 3838756 h 4089764"/>
              <a:gd name="connsiteX2" fmla="*/ 365173 w 2652080"/>
              <a:gd name="connsiteY2" fmla="*/ 4029154 h 4089764"/>
              <a:gd name="connsiteX3" fmla="*/ 2283113 w 2652080"/>
              <a:gd name="connsiteY3" fmla="*/ 4056575 h 4089764"/>
              <a:gd name="connsiteX4" fmla="*/ 2584470 w 2652080"/>
              <a:gd name="connsiteY4" fmla="*/ 3594036 h 4089764"/>
              <a:gd name="connsiteX5" fmla="*/ 2598743 w 2652080"/>
              <a:gd name="connsiteY5" fmla="*/ 409241 h 4089764"/>
              <a:gd name="connsiteX6" fmla="*/ 1984756 w 2652080"/>
              <a:gd name="connsiteY6" fmla="*/ 69475 h 4089764"/>
              <a:gd name="connsiteX7" fmla="*/ 1494898 w 2652080"/>
              <a:gd name="connsiteY7" fmla="*/ 668189 h 4089764"/>
              <a:gd name="connsiteX8" fmla="*/ 1059470 w 2652080"/>
              <a:gd name="connsiteY8" fmla="*/ 940332 h 4089764"/>
              <a:gd name="connsiteX9" fmla="*/ 923398 w 2652080"/>
              <a:gd name="connsiteY9" fmla="*/ 1090011 h 4089764"/>
              <a:gd name="connsiteX10" fmla="*/ 923398 w 2652080"/>
              <a:gd name="connsiteY10" fmla="*/ 1375761 h 4089764"/>
              <a:gd name="connsiteX11" fmla="*/ 1045863 w 2652080"/>
              <a:gd name="connsiteY11" fmla="*/ 1647904 h 4089764"/>
              <a:gd name="connsiteX12" fmla="*/ 1236363 w 2652080"/>
              <a:gd name="connsiteY12" fmla="*/ 1879225 h 4089764"/>
              <a:gd name="connsiteX13" fmla="*/ 1372434 w 2652080"/>
              <a:gd name="connsiteY13" fmla="*/ 2028904 h 4089764"/>
              <a:gd name="connsiteX14" fmla="*/ 1508506 w 2652080"/>
              <a:gd name="connsiteY14" fmla="*/ 2164975 h 4089764"/>
              <a:gd name="connsiteX15" fmla="*/ 1630970 w 2652080"/>
              <a:gd name="connsiteY15" fmla="*/ 2287439 h 4089764"/>
              <a:gd name="connsiteX16" fmla="*/ 1780648 w 2652080"/>
              <a:gd name="connsiteY16" fmla="*/ 2423511 h 4089764"/>
              <a:gd name="connsiteX17" fmla="*/ 1957541 w 2652080"/>
              <a:gd name="connsiteY17" fmla="*/ 2545975 h 4089764"/>
              <a:gd name="connsiteX18" fmla="*/ 1862291 w 2652080"/>
              <a:gd name="connsiteY18" fmla="*/ 2804511 h 4089764"/>
              <a:gd name="connsiteX19" fmla="*/ 1630970 w 2652080"/>
              <a:gd name="connsiteY19" fmla="*/ 3022225 h 4089764"/>
              <a:gd name="connsiteX20" fmla="*/ 1345220 w 2652080"/>
              <a:gd name="connsiteY20" fmla="*/ 3131082 h 4089764"/>
              <a:gd name="connsiteX21" fmla="*/ 923398 w 2652080"/>
              <a:gd name="connsiteY21" fmla="*/ 3103868 h 4089764"/>
              <a:gd name="connsiteX22" fmla="*/ 624041 w 2652080"/>
              <a:gd name="connsiteY22" fmla="*/ 2967796 h 4089764"/>
              <a:gd name="connsiteX23" fmla="*/ 283863 w 2652080"/>
              <a:gd name="connsiteY23" fmla="*/ 2750082 h 4089764"/>
              <a:gd name="connsiteX24" fmla="*/ 25327 w 2652080"/>
              <a:gd name="connsiteY24" fmla="*/ 2532368 h 4089764"/>
              <a:gd name="connsiteX25" fmla="*/ 38934 w 2652080"/>
              <a:gd name="connsiteY25" fmla="*/ 2886154 h 4089764"/>
              <a:gd name="connsiteX0" fmla="*/ 125795 w 2752548"/>
              <a:gd name="connsiteY0" fmla="*/ 2831725 h 4089764"/>
              <a:gd name="connsiteX1" fmla="*/ 139735 w 2752548"/>
              <a:gd name="connsiteY1" fmla="*/ 3838756 h 4089764"/>
              <a:gd name="connsiteX2" fmla="*/ 465641 w 2752548"/>
              <a:gd name="connsiteY2" fmla="*/ 4029154 h 4089764"/>
              <a:gd name="connsiteX3" fmla="*/ 2383581 w 2752548"/>
              <a:gd name="connsiteY3" fmla="*/ 4056575 h 4089764"/>
              <a:gd name="connsiteX4" fmla="*/ 2684938 w 2752548"/>
              <a:gd name="connsiteY4" fmla="*/ 3594036 h 4089764"/>
              <a:gd name="connsiteX5" fmla="*/ 2699211 w 2752548"/>
              <a:gd name="connsiteY5" fmla="*/ 409241 h 4089764"/>
              <a:gd name="connsiteX6" fmla="*/ 2085224 w 2752548"/>
              <a:gd name="connsiteY6" fmla="*/ 69475 h 4089764"/>
              <a:gd name="connsiteX7" fmla="*/ 1595366 w 2752548"/>
              <a:gd name="connsiteY7" fmla="*/ 668189 h 4089764"/>
              <a:gd name="connsiteX8" fmla="*/ 1159938 w 2752548"/>
              <a:gd name="connsiteY8" fmla="*/ 940332 h 4089764"/>
              <a:gd name="connsiteX9" fmla="*/ 1023866 w 2752548"/>
              <a:gd name="connsiteY9" fmla="*/ 1090011 h 4089764"/>
              <a:gd name="connsiteX10" fmla="*/ 1023866 w 2752548"/>
              <a:gd name="connsiteY10" fmla="*/ 1375761 h 4089764"/>
              <a:gd name="connsiteX11" fmla="*/ 1146331 w 2752548"/>
              <a:gd name="connsiteY11" fmla="*/ 1647904 h 4089764"/>
              <a:gd name="connsiteX12" fmla="*/ 1336831 w 2752548"/>
              <a:gd name="connsiteY12" fmla="*/ 1879225 h 4089764"/>
              <a:gd name="connsiteX13" fmla="*/ 1472902 w 2752548"/>
              <a:gd name="connsiteY13" fmla="*/ 2028904 h 4089764"/>
              <a:gd name="connsiteX14" fmla="*/ 1608974 w 2752548"/>
              <a:gd name="connsiteY14" fmla="*/ 2164975 h 4089764"/>
              <a:gd name="connsiteX15" fmla="*/ 1731438 w 2752548"/>
              <a:gd name="connsiteY15" fmla="*/ 2287439 h 4089764"/>
              <a:gd name="connsiteX16" fmla="*/ 1881116 w 2752548"/>
              <a:gd name="connsiteY16" fmla="*/ 2423511 h 4089764"/>
              <a:gd name="connsiteX17" fmla="*/ 2058009 w 2752548"/>
              <a:gd name="connsiteY17" fmla="*/ 2545975 h 4089764"/>
              <a:gd name="connsiteX18" fmla="*/ 1962759 w 2752548"/>
              <a:gd name="connsiteY18" fmla="*/ 2804511 h 4089764"/>
              <a:gd name="connsiteX19" fmla="*/ 1731438 w 2752548"/>
              <a:gd name="connsiteY19" fmla="*/ 3022225 h 4089764"/>
              <a:gd name="connsiteX20" fmla="*/ 1445688 w 2752548"/>
              <a:gd name="connsiteY20" fmla="*/ 3131082 h 4089764"/>
              <a:gd name="connsiteX21" fmla="*/ 1023866 w 2752548"/>
              <a:gd name="connsiteY21" fmla="*/ 3103868 h 4089764"/>
              <a:gd name="connsiteX22" fmla="*/ 724509 w 2752548"/>
              <a:gd name="connsiteY22" fmla="*/ 2967796 h 4089764"/>
              <a:gd name="connsiteX23" fmla="*/ 384331 w 2752548"/>
              <a:gd name="connsiteY23" fmla="*/ 2750082 h 4089764"/>
              <a:gd name="connsiteX24" fmla="*/ 125795 w 2752548"/>
              <a:gd name="connsiteY24" fmla="*/ 2532368 h 4089764"/>
              <a:gd name="connsiteX25" fmla="*/ 0 w 2752548"/>
              <a:gd name="connsiteY25" fmla="*/ 2899864 h 4089764"/>
              <a:gd name="connsiteX0" fmla="*/ 125795 w 2752548"/>
              <a:gd name="connsiteY0" fmla="*/ 2831725 h 4089263"/>
              <a:gd name="connsiteX1" fmla="*/ 125795 w 2752548"/>
              <a:gd name="connsiteY1" fmla="*/ 3852467 h 4089263"/>
              <a:gd name="connsiteX2" fmla="*/ 465641 w 2752548"/>
              <a:gd name="connsiteY2" fmla="*/ 4029154 h 4089263"/>
              <a:gd name="connsiteX3" fmla="*/ 2383581 w 2752548"/>
              <a:gd name="connsiteY3" fmla="*/ 4056575 h 4089263"/>
              <a:gd name="connsiteX4" fmla="*/ 2684938 w 2752548"/>
              <a:gd name="connsiteY4" fmla="*/ 3594036 h 4089263"/>
              <a:gd name="connsiteX5" fmla="*/ 2699211 w 2752548"/>
              <a:gd name="connsiteY5" fmla="*/ 409241 h 4089263"/>
              <a:gd name="connsiteX6" fmla="*/ 2085224 w 2752548"/>
              <a:gd name="connsiteY6" fmla="*/ 69475 h 4089263"/>
              <a:gd name="connsiteX7" fmla="*/ 1595366 w 2752548"/>
              <a:gd name="connsiteY7" fmla="*/ 668189 h 4089263"/>
              <a:gd name="connsiteX8" fmla="*/ 1159938 w 2752548"/>
              <a:gd name="connsiteY8" fmla="*/ 940332 h 4089263"/>
              <a:gd name="connsiteX9" fmla="*/ 1023866 w 2752548"/>
              <a:gd name="connsiteY9" fmla="*/ 1090011 h 4089263"/>
              <a:gd name="connsiteX10" fmla="*/ 1023866 w 2752548"/>
              <a:gd name="connsiteY10" fmla="*/ 1375761 h 4089263"/>
              <a:gd name="connsiteX11" fmla="*/ 1146331 w 2752548"/>
              <a:gd name="connsiteY11" fmla="*/ 1647904 h 4089263"/>
              <a:gd name="connsiteX12" fmla="*/ 1336831 w 2752548"/>
              <a:gd name="connsiteY12" fmla="*/ 1879225 h 4089263"/>
              <a:gd name="connsiteX13" fmla="*/ 1472902 w 2752548"/>
              <a:gd name="connsiteY13" fmla="*/ 2028904 h 4089263"/>
              <a:gd name="connsiteX14" fmla="*/ 1608974 w 2752548"/>
              <a:gd name="connsiteY14" fmla="*/ 2164975 h 4089263"/>
              <a:gd name="connsiteX15" fmla="*/ 1731438 w 2752548"/>
              <a:gd name="connsiteY15" fmla="*/ 2287439 h 4089263"/>
              <a:gd name="connsiteX16" fmla="*/ 1881116 w 2752548"/>
              <a:gd name="connsiteY16" fmla="*/ 2423511 h 4089263"/>
              <a:gd name="connsiteX17" fmla="*/ 2058009 w 2752548"/>
              <a:gd name="connsiteY17" fmla="*/ 2545975 h 4089263"/>
              <a:gd name="connsiteX18" fmla="*/ 1962759 w 2752548"/>
              <a:gd name="connsiteY18" fmla="*/ 2804511 h 4089263"/>
              <a:gd name="connsiteX19" fmla="*/ 1731438 w 2752548"/>
              <a:gd name="connsiteY19" fmla="*/ 3022225 h 4089263"/>
              <a:gd name="connsiteX20" fmla="*/ 1445688 w 2752548"/>
              <a:gd name="connsiteY20" fmla="*/ 3131082 h 4089263"/>
              <a:gd name="connsiteX21" fmla="*/ 1023866 w 2752548"/>
              <a:gd name="connsiteY21" fmla="*/ 3103868 h 4089263"/>
              <a:gd name="connsiteX22" fmla="*/ 724509 w 2752548"/>
              <a:gd name="connsiteY22" fmla="*/ 2967796 h 4089263"/>
              <a:gd name="connsiteX23" fmla="*/ 384331 w 2752548"/>
              <a:gd name="connsiteY23" fmla="*/ 2750082 h 4089263"/>
              <a:gd name="connsiteX24" fmla="*/ 125795 w 2752548"/>
              <a:gd name="connsiteY24" fmla="*/ 2532368 h 4089263"/>
              <a:gd name="connsiteX25" fmla="*/ 0 w 2752548"/>
              <a:gd name="connsiteY25" fmla="*/ 2899864 h 4089263"/>
              <a:gd name="connsiteX0" fmla="*/ 125795 w 2752548"/>
              <a:gd name="connsiteY0" fmla="*/ 2831725 h 4089263"/>
              <a:gd name="connsiteX1" fmla="*/ 125795 w 2752548"/>
              <a:gd name="connsiteY1" fmla="*/ 3852467 h 4089263"/>
              <a:gd name="connsiteX2" fmla="*/ 465641 w 2752548"/>
              <a:gd name="connsiteY2" fmla="*/ 4029154 h 4089263"/>
              <a:gd name="connsiteX3" fmla="*/ 2383581 w 2752548"/>
              <a:gd name="connsiteY3" fmla="*/ 4056575 h 4089263"/>
              <a:gd name="connsiteX4" fmla="*/ 2684938 w 2752548"/>
              <a:gd name="connsiteY4" fmla="*/ 3594036 h 4089263"/>
              <a:gd name="connsiteX5" fmla="*/ 2699211 w 2752548"/>
              <a:gd name="connsiteY5" fmla="*/ 409241 h 4089263"/>
              <a:gd name="connsiteX6" fmla="*/ 2085224 w 2752548"/>
              <a:gd name="connsiteY6" fmla="*/ 69475 h 4089263"/>
              <a:gd name="connsiteX7" fmla="*/ 1595366 w 2752548"/>
              <a:gd name="connsiteY7" fmla="*/ 668189 h 4089263"/>
              <a:gd name="connsiteX8" fmla="*/ 1159938 w 2752548"/>
              <a:gd name="connsiteY8" fmla="*/ 940332 h 4089263"/>
              <a:gd name="connsiteX9" fmla="*/ 1023866 w 2752548"/>
              <a:gd name="connsiteY9" fmla="*/ 1090011 h 4089263"/>
              <a:gd name="connsiteX10" fmla="*/ 1023866 w 2752548"/>
              <a:gd name="connsiteY10" fmla="*/ 1375761 h 4089263"/>
              <a:gd name="connsiteX11" fmla="*/ 1146331 w 2752548"/>
              <a:gd name="connsiteY11" fmla="*/ 1647904 h 4089263"/>
              <a:gd name="connsiteX12" fmla="*/ 1336831 w 2752548"/>
              <a:gd name="connsiteY12" fmla="*/ 1879225 h 4089263"/>
              <a:gd name="connsiteX13" fmla="*/ 1472902 w 2752548"/>
              <a:gd name="connsiteY13" fmla="*/ 2028904 h 4089263"/>
              <a:gd name="connsiteX14" fmla="*/ 1608974 w 2752548"/>
              <a:gd name="connsiteY14" fmla="*/ 2164975 h 4089263"/>
              <a:gd name="connsiteX15" fmla="*/ 1731438 w 2752548"/>
              <a:gd name="connsiteY15" fmla="*/ 2287439 h 4089263"/>
              <a:gd name="connsiteX16" fmla="*/ 1881116 w 2752548"/>
              <a:gd name="connsiteY16" fmla="*/ 2423511 h 4089263"/>
              <a:gd name="connsiteX17" fmla="*/ 2058009 w 2752548"/>
              <a:gd name="connsiteY17" fmla="*/ 2545975 h 4089263"/>
              <a:gd name="connsiteX18" fmla="*/ 1962759 w 2752548"/>
              <a:gd name="connsiteY18" fmla="*/ 2804511 h 4089263"/>
              <a:gd name="connsiteX19" fmla="*/ 1731438 w 2752548"/>
              <a:gd name="connsiteY19" fmla="*/ 3022225 h 4089263"/>
              <a:gd name="connsiteX20" fmla="*/ 1445688 w 2752548"/>
              <a:gd name="connsiteY20" fmla="*/ 3131082 h 4089263"/>
              <a:gd name="connsiteX21" fmla="*/ 1023866 w 2752548"/>
              <a:gd name="connsiteY21" fmla="*/ 3103868 h 4089263"/>
              <a:gd name="connsiteX22" fmla="*/ 724509 w 2752548"/>
              <a:gd name="connsiteY22" fmla="*/ 2967796 h 4089263"/>
              <a:gd name="connsiteX23" fmla="*/ 384331 w 2752548"/>
              <a:gd name="connsiteY23" fmla="*/ 2750082 h 4089263"/>
              <a:gd name="connsiteX24" fmla="*/ 125795 w 2752548"/>
              <a:gd name="connsiteY24" fmla="*/ 2532368 h 4089263"/>
              <a:gd name="connsiteX25" fmla="*/ 0 w 2752548"/>
              <a:gd name="connsiteY25" fmla="*/ 2899864 h 4089263"/>
              <a:gd name="connsiteX0" fmla="*/ 125795 w 2752548"/>
              <a:gd name="connsiteY0" fmla="*/ 2831725 h 4099704"/>
              <a:gd name="connsiteX1" fmla="*/ 125795 w 2752548"/>
              <a:gd name="connsiteY1" fmla="*/ 3852467 h 4099704"/>
              <a:gd name="connsiteX2" fmla="*/ 465641 w 2752548"/>
              <a:gd name="connsiteY2" fmla="*/ 4056575 h 4099704"/>
              <a:gd name="connsiteX3" fmla="*/ 2383581 w 2752548"/>
              <a:gd name="connsiteY3" fmla="*/ 4056575 h 4099704"/>
              <a:gd name="connsiteX4" fmla="*/ 2684938 w 2752548"/>
              <a:gd name="connsiteY4" fmla="*/ 3594036 h 4099704"/>
              <a:gd name="connsiteX5" fmla="*/ 2699211 w 2752548"/>
              <a:gd name="connsiteY5" fmla="*/ 409241 h 4099704"/>
              <a:gd name="connsiteX6" fmla="*/ 2085224 w 2752548"/>
              <a:gd name="connsiteY6" fmla="*/ 69475 h 4099704"/>
              <a:gd name="connsiteX7" fmla="*/ 1595366 w 2752548"/>
              <a:gd name="connsiteY7" fmla="*/ 668189 h 4099704"/>
              <a:gd name="connsiteX8" fmla="*/ 1159938 w 2752548"/>
              <a:gd name="connsiteY8" fmla="*/ 940332 h 4099704"/>
              <a:gd name="connsiteX9" fmla="*/ 1023866 w 2752548"/>
              <a:gd name="connsiteY9" fmla="*/ 1090011 h 4099704"/>
              <a:gd name="connsiteX10" fmla="*/ 1023866 w 2752548"/>
              <a:gd name="connsiteY10" fmla="*/ 1375761 h 4099704"/>
              <a:gd name="connsiteX11" fmla="*/ 1146331 w 2752548"/>
              <a:gd name="connsiteY11" fmla="*/ 1647904 h 4099704"/>
              <a:gd name="connsiteX12" fmla="*/ 1336831 w 2752548"/>
              <a:gd name="connsiteY12" fmla="*/ 1879225 h 4099704"/>
              <a:gd name="connsiteX13" fmla="*/ 1472902 w 2752548"/>
              <a:gd name="connsiteY13" fmla="*/ 2028904 h 4099704"/>
              <a:gd name="connsiteX14" fmla="*/ 1608974 w 2752548"/>
              <a:gd name="connsiteY14" fmla="*/ 2164975 h 4099704"/>
              <a:gd name="connsiteX15" fmla="*/ 1731438 w 2752548"/>
              <a:gd name="connsiteY15" fmla="*/ 2287439 h 4099704"/>
              <a:gd name="connsiteX16" fmla="*/ 1881116 w 2752548"/>
              <a:gd name="connsiteY16" fmla="*/ 2423511 h 4099704"/>
              <a:gd name="connsiteX17" fmla="*/ 2058009 w 2752548"/>
              <a:gd name="connsiteY17" fmla="*/ 2545975 h 4099704"/>
              <a:gd name="connsiteX18" fmla="*/ 1962759 w 2752548"/>
              <a:gd name="connsiteY18" fmla="*/ 2804511 h 4099704"/>
              <a:gd name="connsiteX19" fmla="*/ 1731438 w 2752548"/>
              <a:gd name="connsiteY19" fmla="*/ 3022225 h 4099704"/>
              <a:gd name="connsiteX20" fmla="*/ 1445688 w 2752548"/>
              <a:gd name="connsiteY20" fmla="*/ 3131082 h 4099704"/>
              <a:gd name="connsiteX21" fmla="*/ 1023866 w 2752548"/>
              <a:gd name="connsiteY21" fmla="*/ 3103868 h 4099704"/>
              <a:gd name="connsiteX22" fmla="*/ 724509 w 2752548"/>
              <a:gd name="connsiteY22" fmla="*/ 2967796 h 4099704"/>
              <a:gd name="connsiteX23" fmla="*/ 384331 w 2752548"/>
              <a:gd name="connsiteY23" fmla="*/ 2750082 h 4099704"/>
              <a:gd name="connsiteX24" fmla="*/ 125795 w 2752548"/>
              <a:gd name="connsiteY24" fmla="*/ 2532368 h 4099704"/>
              <a:gd name="connsiteX25" fmla="*/ 0 w 2752548"/>
              <a:gd name="connsiteY25" fmla="*/ 2899864 h 4099704"/>
              <a:gd name="connsiteX0" fmla="*/ 125795 w 2752548"/>
              <a:gd name="connsiteY0" fmla="*/ 2831725 h 4099026"/>
              <a:gd name="connsiteX1" fmla="*/ 153677 w 2752548"/>
              <a:gd name="connsiteY1" fmla="*/ 3866178 h 4099026"/>
              <a:gd name="connsiteX2" fmla="*/ 465641 w 2752548"/>
              <a:gd name="connsiteY2" fmla="*/ 4056575 h 4099026"/>
              <a:gd name="connsiteX3" fmla="*/ 2383581 w 2752548"/>
              <a:gd name="connsiteY3" fmla="*/ 4056575 h 4099026"/>
              <a:gd name="connsiteX4" fmla="*/ 2684938 w 2752548"/>
              <a:gd name="connsiteY4" fmla="*/ 3594036 h 4099026"/>
              <a:gd name="connsiteX5" fmla="*/ 2699211 w 2752548"/>
              <a:gd name="connsiteY5" fmla="*/ 409241 h 4099026"/>
              <a:gd name="connsiteX6" fmla="*/ 2085224 w 2752548"/>
              <a:gd name="connsiteY6" fmla="*/ 69475 h 4099026"/>
              <a:gd name="connsiteX7" fmla="*/ 1595366 w 2752548"/>
              <a:gd name="connsiteY7" fmla="*/ 668189 h 4099026"/>
              <a:gd name="connsiteX8" fmla="*/ 1159938 w 2752548"/>
              <a:gd name="connsiteY8" fmla="*/ 940332 h 4099026"/>
              <a:gd name="connsiteX9" fmla="*/ 1023866 w 2752548"/>
              <a:gd name="connsiteY9" fmla="*/ 1090011 h 4099026"/>
              <a:gd name="connsiteX10" fmla="*/ 1023866 w 2752548"/>
              <a:gd name="connsiteY10" fmla="*/ 1375761 h 4099026"/>
              <a:gd name="connsiteX11" fmla="*/ 1146331 w 2752548"/>
              <a:gd name="connsiteY11" fmla="*/ 1647904 h 4099026"/>
              <a:gd name="connsiteX12" fmla="*/ 1336831 w 2752548"/>
              <a:gd name="connsiteY12" fmla="*/ 1879225 h 4099026"/>
              <a:gd name="connsiteX13" fmla="*/ 1472902 w 2752548"/>
              <a:gd name="connsiteY13" fmla="*/ 2028904 h 4099026"/>
              <a:gd name="connsiteX14" fmla="*/ 1608974 w 2752548"/>
              <a:gd name="connsiteY14" fmla="*/ 2164975 h 4099026"/>
              <a:gd name="connsiteX15" fmla="*/ 1731438 w 2752548"/>
              <a:gd name="connsiteY15" fmla="*/ 2287439 h 4099026"/>
              <a:gd name="connsiteX16" fmla="*/ 1881116 w 2752548"/>
              <a:gd name="connsiteY16" fmla="*/ 2423511 h 4099026"/>
              <a:gd name="connsiteX17" fmla="*/ 2058009 w 2752548"/>
              <a:gd name="connsiteY17" fmla="*/ 2545975 h 4099026"/>
              <a:gd name="connsiteX18" fmla="*/ 1962759 w 2752548"/>
              <a:gd name="connsiteY18" fmla="*/ 2804511 h 4099026"/>
              <a:gd name="connsiteX19" fmla="*/ 1731438 w 2752548"/>
              <a:gd name="connsiteY19" fmla="*/ 3022225 h 4099026"/>
              <a:gd name="connsiteX20" fmla="*/ 1445688 w 2752548"/>
              <a:gd name="connsiteY20" fmla="*/ 3131082 h 4099026"/>
              <a:gd name="connsiteX21" fmla="*/ 1023866 w 2752548"/>
              <a:gd name="connsiteY21" fmla="*/ 3103868 h 4099026"/>
              <a:gd name="connsiteX22" fmla="*/ 724509 w 2752548"/>
              <a:gd name="connsiteY22" fmla="*/ 2967796 h 4099026"/>
              <a:gd name="connsiteX23" fmla="*/ 384331 w 2752548"/>
              <a:gd name="connsiteY23" fmla="*/ 2750082 h 4099026"/>
              <a:gd name="connsiteX24" fmla="*/ 125795 w 2752548"/>
              <a:gd name="connsiteY24" fmla="*/ 2532368 h 4099026"/>
              <a:gd name="connsiteX25" fmla="*/ 0 w 2752548"/>
              <a:gd name="connsiteY25" fmla="*/ 2899864 h 4099026"/>
              <a:gd name="connsiteX0" fmla="*/ 125795 w 2752548"/>
              <a:gd name="connsiteY0" fmla="*/ 2831725 h 4099026"/>
              <a:gd name="connsiteX1" fmla="*/ 153677 w 2752548"/>
              <a:gd name="connsiteY1" fmla="*/ 3866178 h 4099026"/>
              <a:gd name="connsiteX2" fmla="*/ 465641 w 2752548"/>
              <a:gd name="connsiteY2" fmla="*/ 4056575 h 4099026"/>
              <a:gd name="connsiteX3" fmla="*/ 2383581 w 2752548"/>
              <a:gd name="connsiteY3" fmla="*/ 4056575 h 4099026"/>
              <a:gd name="connsiteX4" fmla="*/ 2684938 w 2752548"/>
              <a:gd name="connsiteY4" fmla="*/ 3594036 h 4099026"/>
              <a:gd name="connsiteX5" fmla="*/ 2699211 w 2752548"/>
              <a:gd name="connsiteY5" fmla="*/ 409241 h 4099026"/>
              <a:gd name="connsiteX6" fmla="*/ 2085224 w 2752548"/>
              <a:gd name="connsiteY6" fmla="*/ 69475 h 4099026"/>
              <a:gd name="connsiteX7" fmla="*/ 1595366 w 2752548"/>
              <a:gd name="connsiteY7" fmla="*/ 668189 h 4099026"/>
              <a:gd name="connsiteX8" fmla="*/ 1159938 w 2752548"/>
              <a:gd name="connsiteY8" fmla="*/ 940332 h 4099026"/>
              <a:gd name="connsiteX9" fmla="*/ 1023866 w 2752548"/>
              <a:gd name="connsiteY9" fmla="*/ 1090011 h 4099026"/>
              <a:gd name="connsiteX10" fmla="*/ 1023866 w 2752548"/>
              <a:gd name="connsiteY10" fmla="*/ 1375761 h 4099026"/>
              <a:gd name="connsiteX11" fmla="*/ 1146331 w 2752548"/>
              <a:gd name="connsiteY11" fmla="*/ 1647904 h 4099026"/>
              <a:gd name="connsiteX12" fmla="*/ 1336831 w 2752548"/>
              <a:gd name="connsiteY12" fmla="*/ 1879225 h 4099026"/>
              <a:gd name="connsiteX13" fmla="*/ 1472902 w 2752548"/>
              <a:gd name="connsiteY13" fmla="*/ 2028904 h 4099026"/>
              <a:gd name="connsiteX14" fmla="*/ 1608974 w 2752548"/>
              <a:gd name="connsiteY14" fmla="*/ 2164975 h 4099026"/>
              <a:gd name="connsiteX15" fmla="*/ 1731438 w 2752548"/>
              <a:gd name="connsiteY15" fmla="*/ 2287439 h 4099026"/>
              <a:gd name="connsiteX16" fmla="*/ 1881116 w 2752548"/>
              <a:gd name="connsiteY16" fmla="*/ 2423511 h 4099026"/>
              <a:gd name="connsiteX17" fmla="*/ 2058009 w 2752548"/>
              <a:gd name="connsiteY17" fmla="*/ 2545975 h 4099026"/>
              <a:gd name="connsiteX18" fmla="*/ 1962759 w 2752548"/>
              <a:gd name="connsiteY18" fmla="*/ 2804511 h 4099026"/>
              <a:gd name="connsiteX19" fmla="*/ 1731438 w 2752548"/>
              <a:gd name="connsiteY19" fmla="*/ 3022225 h 4099026"/>
              <a:gd name="connsiteX20" fmla="*/ 1445688 w 2752548"/>
              <a:gd name="connsiteY20" fmla="*/ 3131082 h 4099026"/>
              <a:gd name="connsiteX21" fmla="*/ 1023866 w 2752548"/>
              <a:gd name="connsiteY21" fmla="*/ 3103868 h 4099026"/>
              <a:gd name="connsiteX22" fmla="*/ 724509 w 2752548"/>
              <a:gd name="connsiteY22" fmla="*/ 2967796 h 4099026"/>
              <a:gd name="connsiteX23" fmla="*/ 384331 w 2752548"/>
              <a:gd name="connsiteY23" fmla="*/ 2750082 h 4099026"/>
              <a:gd name="connsiteX24" fmla="*/ 125795 w 2752548"/>
              <a:gd name="connsiteY24" fmla="*/ 2532368 h 4099026"/>
              <a:gd name="connsiteX25" fmla="*/ 0 w 2752548"/>
              <a:gd name="connsiteY25" fmla="*/ 2899864 h 4099026"/>
              <a:gd name="connsiteX0" fmla="*/ 125795 w 2752548"/>
              <a:gd name="connsiteY0" fmla="*/ 2831725 h 4097704"/>
              <a:gd name="connsiteX1" fmla="*/ 139735 w 2752548"/>
              <a:gd name="connsiteY1" fmla="*/ 3893599 h 4097704"/>
              <a:gd name="connsiteX2" fmla="*/ 465641 w 2752548"/>
              <a:gd name="connsiteY2" fmla="*/ 4056575 h 4097704"/>
              <a:gd name="connsiteX3" fmla="*/ 2383581 w 2752548"/>
              <a:gd name="connsiteY3" fmla="*/ 4056575 h 4097704"/>
              <a:gd name="connsiteX4" fmla="*/ 2684938 w 2752548"/>
              <a:gd name="connsiteY4" fmla="*/ 3594036 h 4097704"/>
              <a:gd name="connsiteX5" fmla="*/ 2699211 w 2752548"/>
              <a:gd name="connsiteY5" fmla="*/ 409241 h 4097704"/>
              <a:gd name="connsiteX6" fmla="*/ 2085224 w 2752548"/>
              <a:gd name="connsiteY6" fmla="*/ 69475 h 4097704"/>
              <a:gd name="connsiteX7" fmla="*/ 1595366 w 2752548"/>
              <a:gd name="connsiteY7" fmla="*/ 668189 h 4097704"/>
              <a:gd name="connsiteX8" fmla="*/ 1159938 w 2752548"/>
              <a:gd name="connsiteY8" fmla="*/ 940332 h 4097704"/>
              <a:gd name="connsiteX9" fmla="*/ 1023866 w 2752548"/>
              <a:gd name="connsiteY9" fmla="*/ 1090011 h 4097704"/>
              <a:gd name="connsiteX10" fmla="*/ 1023866 w 2752548"/>
              <a:gd name="connsiteY10" fmla="*/ 1375761 h 4097704"/>
              <a:gd name="connsiteX11" fmla="*/ 1146331 w 2752548"/>
              <a:gd name="connsiteY11" fmla="*/ 1647904 h 4097704"/>
              <a:gd name="connsiteX12" fmla="*/ 1336831 w 2752548"/>
              <a:gd name="connsiteY12" fmla="*/ 1879225 h 4097704"/>
              <a:gd name="connsiteX13" fmla="*/ 1472902 w 2752548"/>
              <a:gd name="connsiteY13" fmla="*/ 2028904 h 4097704"/>
              <a:gd name="connsiteX14" fmla="*/ 1608974 w 2752548"/>
              <a:gd name="connsiteY14" fmla="*/ 2164975 h 4097704"/>
              <a:gd name="connsiteX15" fmla="*/ 1731438 w 2752548"/>
              <a:gd name="connsiteY15" fmla="*/ 2287439 h 4097704"/>
              <a:gd name="connsiteX16" fmla="*/ 1881116 w 2752548"/>
              <a:gd name="connsiteY16" fmla="*/ 2423511 h 4097704"/>
              <a:gd name="connsiteX17" fmla="*/ 2058009 w 2752548"/>
              <a:gd name="connsiteY17" fmla="*/ 2545975 h 4097704"/>
              <a:gd name="connsiteX18" fmla="*/ 1962759 w 2752548"/>
              <a:gd name="connsiteY18" fmla="*/ 2804511 h 4097704"/>
              <a:gd name="connsiteX19" fmla="*/ 1731438 w 2752548"/>
              <a:gd name="connsiteY19" fmla="*/ 3022225 h 4097704"/>
              <a:gd name="connsiteX20" fmla="*/ 1445688 w 2752548"/>
              <a:gd name="connsiteY20" fmla="*/ 3131082 h 4097704"/>
              <a:gd name="connsiteX21" fmla="*/ 1023866 w 2752548"/>
              <a:gd name="connsiteY21" fmla="*/ 3103868 h 4097704"/>
              <a:gd name="connsiteX22" fmla="*/ 724509 w 2752548"/>
              <a:gd name="connsiteY22" fmla="*/ 2967796 h 4097704"/>
              <a:gd name="connsiteX23" fmla="*/ 384331 w 2752548"/>
              <a:gd name="connsiteY23" fmla="*/ 2750082 h 4097704"/>
              <a:gd name="connsiteX24" fmla="*/ 125795 w 2752548"/>
              <a:gd name="connsiteY24" fmla="*/ 2532368 h 4097704"/>
              <a:gd name="connsiteX25" fmla="*/ 0 w 2752548"/>
              <a:gd name="connsiteY25" fmla="*/ 2899864 h 4097704"/>
              <a:gd name="connsiteX0" fmla="*/ 125795 w 2752548"/>
              <a:gd name="connsiteY0" fmla="*/ 2831725 h 4097704"/>
              <a:gd name="connsiteX1" fmla="*/ 139735 w 2752548"/>
              <a:gd name="connsiteY1" fmla="*/ 3893599 h 4097704"/>
              <a:gd name="connsiteX2" fmla="*/ 465641 w 2752548"/>
              <a:gd name="connsiteY2" fmla="*/ 4056575 h 4097704"/>
              <a:gd name="connsiteX3" fmla="*/ 2383581 w 2752548"/>
              <a:gd name="connsiteY3" fmla="*/ 4056575 h 4097704"/>
              <a:gd name="connsiteX4" fmla="*/ 2684938 w 2752548"/>
              <a:gd name="connsiteY4" fmla="*/ 3594036 h 4097704"/>
              <a:gd name="connsiteX5" fmla="*/ 2699211 w 2752548"/>
              <a:gd name="connsiteY5" fmla="*/ 409241 h 4097704"/>
              <a:gd name="connsiteX6" fmla="*/ 2085224 w 2752548"/>
              <a:gd name="connsiteY6" fmla="*/ 69475 h 4097704"/>
              <a:gd name="connsiteX7" fmla="*/ 1595366 w 2752548"/>
              <a:gd name="connsiteY7" fmla="*/ 668189 h 4097704"/>
              <a:gd name="connsiteX8" fmla="*/ 1159938 w 2752548"/>
              <a:gd name="connsiteY8" fmla="*/ 940332 h 4097704"/>
              <a:gd name="connsiteX9" fmla="*/ 1023866 w 2752548"/>
              <a:gd name="connsiteY9" fmla="*/ 1090011 h 4097704"/>
              <a:gd name="connsiteX10" fmla="*/ 1023866 w 2752548"/>
              <a:gd name="connsiteY10" fmla="*/ 1375761 h 4097704"/>
              <a:gd name="connsiteX11" fmla="*/ 1146331 w 2752548"/>
              <a:gd name="connsiteY11" fmla="*/ 1647904 h 4097704"/>
              <a:gd name="connsiteX12" fmla="*/ 1336831 w 2752548"/>
              <a:gd name="connsiteY12" fmla="*/ 1879225 h 4097704"/>
              <a:gd name="connsiteX13" fmla="*/ 1472902 w 2752548"/>
              <a:gd name="connsiteY13" fmla="*/ 2028904 h 4097704"/>
              <a:gd name="connsiteX14" fmla="*/ 1608974 w 2752548"/>
              <a:gd name="connsiteY14" fmla="*/ 2164975 h 4097704"/>
              <a:gd name="connsiteX15" fmla="*/ 1731438 w 2752548"/>
              <a:gd name="connsiteY15" fmla="*/ 2287439 h 4097704"/>
              <a:gd name="connsiteX16" fmla="*/ 1881116 w 2752548"/>
              <a:gd name="connsiteY16" fmla="*/ 2423511 h 4097704"/>
              <a:gd name="connsiteX17" fmla="*/ 2058009 w 2752548"/>
              <a:gd name="connsiteY17" fmla="*/ 2545975 h 4097704"/>
              <a:gd name="connsiteX18" fmla="*/ 1962759 w 2752548"/>
              <a:gd name="connsiteY18" fmla="*/ 2804511 h 4097704"/>
              <a:gd name="connsiteX19" fmla="*/ 1731438 w 2752548"/>
              <a:gd name="connsiteY19" fmla="*/ 3022225 h 4097704"/>
              <a:gd name="connsiteX20" fmla="*/ 1445688 w 2752548"/>
              <a:gd name="connsiteY20" fmla="*/ 3131082 h 4097704"/>
              <a:gd name="connsiteX21" fmla="*/ 1023866 w 2752548"/>
              <a:gd name="connsiteY21" fmla="*/ 3103868 h 4097704"/>
              <a:gd name="connsiteX22" fmla="*/ 724509 w 2752548"/>
              <a:gd name="connsiteY22" fmla="*/ 2967796 h 4097704"/>
              <a:gd name="connsiteX23" fmla="*/ 384331 w 2752548"/>
              <a:gd name="connsiteY23" fmla="*/ 2750082 h 4097704"/>
              <a:gd name="connsiteX24" fmla="*/ 125795 w 2752548"/>
              <a:gd name="connsiteY24" fmla="*/ 2532368 h 4097704"/>
              <a:gd name="connsiteX25" fmla="*/ 0 w 2752548"/>
              <a:gd name="connsiteY25" fmla="*/ 2899864 h 4097704"/>
              <a:gd name="connsiteX0" fmla="*/ 125795 w 2752548"/>
              <a:gd name="connsiteY0" fmla="*/ 2831725 h 4097704"/>
              <a:gd name="connsiteX1" fmla="*/ 139735 w 2752548"/>
              <a:gd name="connsiteY1" fmla="*/ 3893599 h 4097704"/>
              <a:gd name="connsiteX2" fmla="*/ 465641 w 2752548"/>
              <a:gd name="connsiteY2" fmla="*/ 4056575 h 4097704"/>
              <a:gd name="connsiteX3" fmla="*/ 2383581 w 2752548"/>
              <a:gd name="connsiteY3" fmla="*/ 4056575 h 4097704"/>
              <a:gd name="connsiteX4" fmla="*/ 2684938 w 2752548"/>
              <a:gd name="connsiteY4" fmla="*/ 3594036 h 4097704"/>
              <a:gd name="connsiteX5" fmla="*/ 2699211 w 2752548"/>
              <a:gd name="connsiteY5" fmla="*/ 409241 h 4097704"/>
              <a:gd name="connsiteX6" fmla="*/ 2085224 w 2752548"/>
              <a:gd name="connsiteY6" fmla="*/ 69475 h 4097704"/>
              <a:gd name="connsiteX7" fmla="*/ 1595366 w 2752548"/>
              <a:gd name="connsiteY7" fmla="*/ 668189 h 4097704"/>
              <a:gd name="connsiteX8" fmla="*/ 1159938 w 2752548"/>
              <a:gd name="connsiteY8" fmla="*/ 940332 h 4097704"/>
              <a:gd name="connsiteX9" fmla="*/ 1023866 w 2752548"/>
              <a:gd name="connsiteY9" fmla="*/ 1090011 h 4097704"/>
              <a:gd name="connsiteX10" fmla="*/ 1023866 w 2752548"/>
              <a:gd name="connsiteY10" fmla="*/ 1375761 h 4097704"/>
              <a:gd name="connsiteX11" fmla="*/ 1146331 w 2752548"/>
              <a:gd name="connsiteY11" fmla="*/ 1647904 h 4097704"/>
              <a:gd name="connsiteX12" fmla="*/ 1336831 w 2752548"/>
              <a:gd name="connsiteY12" fmla="*/ 1879225 h 4097704"/>
              <a:gd name="connsiteX13" fmla="*/ 1472902 w 2752548"/>
              <a:gd name="connsiteY13" fmla="*/ 2028904 h 4097704"/>
              <a:gd name="connsiteX14" fmla="*/ 1608974 w 2752548"/>
              <a:gd name="connsiteY14" fmla="*/ 2164975 h 4097704"/>
              <a:gd name="connsiteX15" fmla="*/ 1731438 w 2752548"/>
              <a:gd name="connsiteY15" fmla="*/ 2287439 h 4097704"/>
              <a:gd name="connsiteX16" fmla="*/ 1881116 w 2752548"/>
              <a:gd name="connsiteY16" fmla="*/ 2423511 h 4097704"/>
              <a:gd name="connsiteX17" fmla="*/ 2058009 w 2752548"/>
              <a:gd name="connsiteY17" fmla="*/ 2545975 h 4097704"/>
              <a:gd name="connsiteX18" fmla="*/ 1962759 w 2752548"/>
              <a:gd name="connsiteY18" fmla="*/ 2804511 h 4097704"/>
              <a:gd name="connsiteX19" fmla="*/ 1731438 w 2752548"/>
              <a:gd name="connsiteY19" fmla="*/ 3022225 h 4097704"/>
              <a:gd name="connsiteX20" fmla="*/ 1445688 w 2752548"/>
              <a:gd name="connsiteY20" fmla="*/ 3131082 h 4097704"/>
              <a:gd name="connsiteX21" fmla="*/ 1023866 w 2752548"/>
              <a:gd name="connsiteY21" fmla="*/ 3103868 h 4097704"/>
              <a:gd name="connsiteX22" fmla="*/ 724509 w 2752548"/>
              <a:gd name="connsiteY22" fmla="*/ 2967796 h 4097704"/>
              <a:gd name="connsiteX23" fmla="*/ 384331 w 2752548"/>
              <a:gd name="connsiteY23" fmla="*/ 2750082 h 4097704"/>
              <a:gd name="connsiteX24" fmla="*/ 125795 w 2752548"/>
              <a:gd name="connsiteY24" fmla="*/ 2532368 h 4097704"/>
              <a:gd name="connsiteX25" fmla="*/ 0 w 2752548"/>
              <a:gd name="connsiteY25" fmla="*/ 2899864 h 4097704"/>
              <a:gd name="connsiteX0" fmla="*/ 97915 w 2724668"/>
              <a:gd name="connsiteY0" fmla="*/ 2831725 h 4097704"/>
              <a:gd name="connsiteX1" fmla="*/ 111855 w 2724668"/>
              <a:gd name="connsiteY1" fmla="*/ 3893599 h 4097704"/>
              <a:gd name="connsiteX2" fmla="*/ 437761 w 2724668"/>
              <a:gd name="connsiteY2" fmla="*/ 4056575 h 4097704"/>
              <a:gd name="connsiteX3" fmla="*/ 2355701 w 2724668"/>
              <a:gd name="connsiteY3" fmla="*/ 4056575 h 4097704"/>
              <a:gd name="connsiteX4" fmla="*/ 2657058 w 2724668"/>
              <a:gd name="connsiteY4" fmla="*/ 3594036 h 4097704"/>
              <a:gd name="connsiteX5" fmla="*/ 2671331 w 2724668"/>
              <a:gd name="connsiteY5" fmla="*/ 409241 h 4097704"/>
              <a:gd name="connsiteX6" fmla="*/ 2057344 w 2724668"/>
              <a:gd name="connsiteY6" fmla="*/ 69475 h 4097704"/>
              <a:gd name="connsiteX7" fmla="*/ 1567486 w 2724668"/>
              <a:gd name="connsiteY7" fmla="*/ 668189 h 4097704"/>
              <a:gd name="connsiteX8" fmla="*/ 1132058 w 2724668"/>
              <a:gd name="connsiteY8" fmla="*/ 940332 h 4097704"/>
              <a:gd name="connsiteX9" fmla="*/ 995986 w 2724668"/>
              <a:gd name="connsiteY9" fmla="*/ 1090011 h 4097704"/>
              <a:gd name="connsiteX10" fmla="*/ 995986 w 2724668"/>
              <a:gd name="connsiteY10" fmla="*/ 1375761 h 4097704"/>
              <a:gd name="connsiteX11" fmla="*/ 1118451 w 2724668"/>
              <a:gd name="connsiteY11" fmla="*/ 1647904 h 4097704"/>
              <a:gd name="connsiteX12" fmla="*/ 1308951 w 2724668"/>
              <a:gd name="connsiteY12" fmla="*/ 1879225 h 4097704"/>
              <a:gd name="connsiteX13" fmla="*/ 1445022 w 2724668"/>
              <a:gd name="connsiteY13" fmla="*/ 2028904 h 4097704"/>
              <a:gd name="connsiteX14" fmla="*/ 1581094 w 2724668"/>
              <a:gd name="connsiteY14" fmla="*/ 2164975 h 4097704"/>
              <a:gd name="connsiteX15" fmla="*/ 1703558 w 2724668"/>
              <a:gd name="connsiteY15" fmla="*/ 2287439 h 4097704"/>
              <a:gd name="connsiteX16" fmla="*/ 1853236 w 2724668"/>
              <a:gd name="connsiteY16" fmla="*/ 2423511 h 4097704"/>
              <a:gd name="connsiteX17" fmla="*/ 2030129 w 2724668"/>
              <a:gd name="connsiteY17" fmla="*/ 2545975 h 4097704"/>
              <a:gd name="connsiteX18" fmla="*/ 1934879 w 2724668"/>
              <a:gd name="connsiteY18" fmla="*/ 2804511 h 4097704"/>
              <a:gd name="connsiteX19" fmla="*/ 1703558 w 2724668"/>
              <a:gd name="connsiteY19" fmla="*/ 3022225 h 4097704"/>
              <a:gd name="connsiteX20" fmla="*/ 1417808 w 2724668"/>
              <a:gd name="connsiteY20" fmla="*/ 3131082 h 4097704"/>
              <a:gd name="connsiteX21" fmla="*/ 995986 w 2724668"/>
              <a:gd name="connsiteY21" fmla="*/ 3103868 h 4097704"/>
              <a:gd name="connsiteX22" fmla="*/ 696629 w 2724668"/>
              <a:gd name="connsiteY22" fmla="*/ 2967796 h 4097704"/>
              <a:gd name="connsiteX23" fmla="*/ 356451 w 2724668"/>
              <a:gd name="connsiteY23" fmla="*/ 2750082 h 4097704"/>
              <a:gd name="connsiteX24" fmla="*/ 97915 w 2724668"/>
              <a:gd name="connsiteY24" fmla="*/ 2532368 h 4097704"/>
              <a:gd name="connsiteX25" fmla="*/ 0 w 2724668"/>
              <a:gd name="connsiteY25" fmla="*/ 2803891 h 4097704"/>
              <a:gd name="connsiteX0" fmla="*/ 12817 w 2639570"/>
              <a:gd name="connsiteY0" fmla="*/ 2831725 h 4097704"/>
              <a:gd name="connsiteX1" fmla="*/ 26757 w 2639570"/>
              <a:gd name="connsiteY1" fmla="*/ 3893599 h 4097704"/>
              <a:gd name="connsiteX2" fmla="*/ 352663 w 2639570"/>
              <a:gd name="connsiteY2" fmla="*/ 4056575 h 4097704"/>
              <a:gd name="connsiteX3" fmla="*/ 2270603 w 2639570"/>
              <a:gd name="connsiteY3" fmla="*/ 4056575 h 4097704"/>
              <a:gd name="connsiteX4" fmla="*/ 2571960 w 2639570"/>
              <a:gd name="connsiteY4" fmla="*/ 3594036 h 4097704"/>
              <a:gd name="connsiteX5" fmla="*/ 2586233 w 2639570"/>
              <a:gd name="connsiteY5" fmla="*/ 409241 h 4097704"/>
              <a:gd name="connsiteX6" fmla="*/ 1972246 w 2639570"/>
              <a:gd name="connsiteY6" fmla="*/ 69475 h 4097704"/>
              <a:gd name="connsiteX7" fmla="*/ 1482388 w 2639570"/>
              <a:gd name="connsiteY7" fmla="*/ 668189 h 4097704"/>
              <a:gd name="connsiteX8" fmla="*/ 1046960 w 2639570"/>
              <a:gd name="connsiteY8" fmla="*/ 940332 h 4097704"/>
              <a:gd name="connsiteX9" fmla="*/ 910888 w 2639570"/>
              <a:gd name="connsiteY9" fmla="*/ 1090011 h 4097704"/>
              <a:gd name="connsiteX10" fmla="*/ 910888 w 2639570"/>
              <a:gd name="connsiteY10" fmla="*/ 1375761 h 4097704"/>
              <a:gd name="connsiteX11" fmla="*/ 1033353 w 2639570"/>
              <a:gd name="connsiteY11" fmla="*/ 1647904 h 4097704"/>
              <a:gd name="connsiteX12" fmla="*/ 1223853 w 2639570"/>
              <a:gd name="connsiteY12" fmla="*/ 1879225 h 4097704"/>
              <a:gd name="connsiteX13" fmla="*/ 1359924 w 2639570"/>
              <a:gd name="connsiteY13" fmla="*/ 2028904 h 4097704"/>
              <a:gd name="connsiteX14" fmla="*/ 1495996 w 2639570"/>
              <a:gd name="connsiteY14" fmla="*/ 2164975 h 4097704"/>
              <a:gd name="connsiteX15" fmla="*/ 1618460 w 2639570"/>
              <a:gd name="connsiteY15" fmla="*/ 2287439 h 4097704"/>
              <a:gd name="connsiteX16" fmla="*/ 1768138 w 2639570"/>
              <a:gd name="connsiteY16" fmla="*/ 2423511 h 4097704"/>
              <a:gd name="connsiteX17" fmla="*/ 1945031 w 2639570"/>
              <a:gd name="connsiteY17" fmla="*/ 2545975 h 4097704"/>
              <a:gd name="connsiteX18" fmla="*/ 1849781 w 2639570"/>
              <a:gd name="connsiteY18" fmla="*/ 2804511 h 4097704"/>
              <a:gd name="connsiteX19" fmla="*/ 1618460 w 2639570"/>
              <a:gd name="connsiteY19" fmla="*/ 3022225 h 4097704"/>
              <a:gd name="connsiteX20" fmla="*/ 1332710 w 2639570"/>
              <a:gd name="connsiteY20" fmla="*/ 3131082 h 4097704"/>
              <a:gd name="connsiteX21" fmla="*/ 910888 w 2639570"/>
              <a:gd name="connsiteY21" fmla="*/ 3103868 h 4097704"/>
              <a:gd name="connsiteX22" fmla="*/ 611531 w 2639570"/>
              <a:gd name="connsiteY22" fmla="*/ 2967796 h 4097704"/>
              <a:gd name="connsiteX23" fmla="*/ 271353 w 2639570"/>
              <a:gd name="connsiteY23" fmla="*/ 2750082 h 4097704"/>
              <a:gd name="connsiteX24" fmla="*/ 12817 w 2639570"/>
              <a:gd name="connsiteY24" fmla="*/ 2532368 h 4097704"/>
              <a:gd name="connsiteX25" fmla="*/ 7473 w 2639570"/>
              <a:gd name="connsiteY25" fmla="*/ 2768532 h 4097704"/>
              <a:gd name="connsiteX0" fmla="*/ 21435 w 2648188"/>
              <a:gd name="connsiteY0" fmla="*/ 2831725 h 4097704"/>
              <a:gd name="connsiteX1" fmla="*/ 35375 w 2648188"/>
              <a:gd name="connsiteY1" fmla="*/ 3893599 h 4097704"/>
              <a:gd name="connsiteX2" fmla="*/ 361281 w 2648188"/>
              <a:gd name="connsiteY2" fmla="*/ 4056575 h 4097704"/>
              <a:gd name="connsiteX3" fmla="*/ 2279221 w 2648188"/>
              <a:gd name="connsiteY3" fmla="*/ 4056575 h 4097704"/>
              <a:gd name="connsiteX4" fmla="*/ 2580578 w 2648188"/>
              <a:gd name="connsiteY4" fmla="*/ 3594036 h 4097704"/>
              <a:gd name="connsiteX5" fmla="*/ 2594851 w 2648188"/>
              <a:gd name="connsiteY5" fmla="*/ 409241 h 4097704"/>
              <a:gd name="connsiteX6" fmla="*/ 1980864 w 2648188"/>
              <a:gd name="connsiteY6" fmla="*/ 69475 h 4097704"/>
              <a:gd name="connsiteX7" fmla="*/ 1491006 w 2648188"/>
              <a:gd name="connsiteY7" fmla="*/ 668189 h 4097704"/>
              <a:gd name="connsiteX8" fmla="*/ 1055578 w 2648188"/>
              <a:gd name="connsiteY8" fmla="*/ 940332 h 4097704"/>
              <a:gd name="connsiteX9" fmla="*/ 919506 w 2648188"/>
              <a:gd name="connsiteY9" fmla="*/ 1090011 h 4097704"/>
              <a:gd name="connsiteX10" fmla="*/ 919506 w 2648188"/>
              <a:gd name="connsiteY10" fmla="*/ 1375761 h 4097704"/>
              <a:gd name="connsiteX11" fmla="*/ 1041971 w 2648188"/>
              <a:gd name="connsiteY11" fmla="*/ 1647904 h 4097704"/>
              <a:gd name="connsiteX12" fmla="*/ 1232471 w 2648188"/>
              <a:gd name="connsiteY12" fmla="*/ 1879225 h 4097704"/>
              <a:gd name="connsiteX13" fmla="*/ 1368542 w 2648188"/>
              <a:gd name="connsiteY13" fmla="*/ 2028904 h 4097704"/>
              <a:gd name="connsiteX14" fmla="*/ 1504614 w 2648188"/>
              <a:gd name="connsiteY14" fmla="*/ 2164975 h 4097704"/>
              <a:gd name="connsiteX15" fmla="*/ 1627078 w 2648188"/>
              <a:gd name="connsiteY15" fmla="*/ 2287439 h 4097704"/>
              <a:gd name="connsiteX16" fmla="*/ 1776756 w 2648188"/>
              <a:gd name="connsiteY16" fmla="*/ 2423511 h 4097704"/>
              <a:gd name="connsiteX17" fmla="*/ 1953649 w 2648188"/>
              <a:gd name="connsiteY17" fmla="*/ 2545975 h 4097704"/>
              <a:gd name="connsiteX18" fmla="*/ 1858399 w 2648188"/>
              <a:gd name="connsiteY18" fmla="*/ 2804511 h 4097704"/>
              <a:gd name="connsiteX19" fmla="*/ 1627078 w 2648188"/>
              <a:gd name="connsiteY19" fmla="*/ 3022225 h 4097704"/>
              <a:gd name="connsiteX20" fmla="*/ 1341328 w 2648188"/>
              <a:gd name="connsiteY20" fmla="*/ 3131082 h 4097704"/>
              <a:gd name="connsiteX21" fmla="*/ 919506 w 2648188"/>
              <a:gd name="connsiteY21" fmla="*/ 3103868 h 4097704"/>
              <a:gd name="connsiteX22" fmla="*/ 620149 w 2648188"/>
              <a:gd name="connsiteY22" fmla="*/ 2967796 h 4097704"/>
              <a:gd name="connsiteX23" fmla="*/ 279971 w 2648188"/>
              <a:gd name="connsiteY23" fmla="*/ 2750082 h 4097704"/>
              <a:gd name="connsiteX24" fmla="*/ 21435 w 2648188"/>
              <a:gd name="connsiteY24" fmla="*/ 2532368 h 4097704"/>
              <a:gd name="connsiteX25" fmla="*/ 16091 w 2648188"/>
              <a:gd name="connsiteY25" fmla="*/ 2768532 h 4097704"/>
              <a:gd name="connsiteX0" fmla="*/ 15226 w 2672836"/>
              <a:gd name="connsiteY0" fmla="*/ 2841828 h 4097704"/>
              <a:gd name="connsiteX1" fmla="*/ 60023 w 2672836"/>
              <a:gd name="connsiteY1" fmla="*/ 3893599 h 4097704"/>
              <a:gd name="connsiteX2" fmla="*/ 385929 w 2672836"/>
              <a:gd name="connsiteY2" fmla="*/ 4056575 h 4097704"/>
              <a:gd name="connsiteX3" fmla="*/ 2303869 w 2672836"/>
              <a:gd name="connsiteY3" fmla="*/ 4056575 h 4097704"/>
              <a:gd name="connsiteX4" fmla="*/ 2605226 w 2672836"/>
              <a:gd name="connsiteY4" fmla="*/ 3594036 h 4097704"/>
              <a:gd name="connsiteX5" fmla="*/ 2619499 w 2672836"/>
              <a:gd name="connsiteY5" fmla="*/ 409241 h 4097704"/>
              <a:gd name="connsiteX6" fmla="*/ 2005512 w 2672836"/>
              <a:gd name="connsiteY6" fmla="*/ 69475 h 4097704"/>
              <a:gd name="connsiteX7" fmla="*/ 1515654 w 2672836"/>
              <a:gd name="connsiteY7" fmla="*/ 668189 h 4097704"/>
              <a:gd name="connsiteX8" fmla="*/ 1080226 w 2672836"/>
              <a:gd name="connsiteY8" fmla="*/ 940332 h 4097704"/>
              <a:gd name="connsiteX9" fmla="*/ 944154 w 2672836"/>
              <a:gd name="connsiteY9" fmla="*/ 1090011 h 4097704"/>
              <a:gd name="connsiteX10" fmla="*/ 944154 w 2672836"/>
              <a:gd name="connsiteY10" fmla="*/ 1375761 h 4097704"/>
              <a:gd name="connsiteX11" fmla="*/ 1066619 w 2672836"/>
              <a:gd name="connsiteY11" fmla="*/ 1647904 h 4097704"/>
              <a:gd name="connsiteX12" fmla="*/ 1257119 w 2672836"/>
              <a:gd name="connsiteY12" fmla="*/ 1879225 h 4097704"/>
              <a:gd name="connsiteX13" fmla="*/ 1393190 w 2672836"/>
              <a:gd name="connsiteY13" fmla="*/ 2028904 h 4097704"/>
              <a:gd name="connsiteX14" fmla="*/ 1529262 w 2672836"/>
              <a:gd name="connsiteY14" fmla="*/ 2164975 h 4097704"/>
              <a:gd name="connsiteX15" fmla="*/ 1651726 w 2672836"/>
              <a:gd name="connsiteY15" fmla="*/ 2287439 h 4097704"/>
              <a:gd name="connsiteX16" fmla="*/ 1801404 w 2672836"/>
              <a:gd name="connsiteY16" fmla="*/ 2423511 h 4097704"/>
              <a:gd name="connsiteX17" fmla="*/ 1978297 w 2672836"/>
              <a:gd name="connsiteY17" fmla="*/ 2545975 h 4097704"/>
              <a:gd name="connsiteX18" fmla="*/ 1883047 w 2672836"/>
              <a:gd name="connsiteY18" fmla="*/ 2804511 h 4097704"/>
              <a:gd name="connsiteX19" fmla="*/ 1651726 w 2672836"/>
              <a:gd name="connsiteY19" fmla="*/ 3022225 h 4097704"/>
              <a:gd name="connsiteX20" fmla="*/ 1365976 w 2672836"/>
              <a:gd name="connsiteY20" fmla="*/ 3131082 h 4097704"/>
              <a:gd name="connsiteX21" fmla="*/ 944154 w 2672836"/>
              <a:gd name="connsiteY21" fmla="*/ 3103868 h 4097704"/>
              <a:gd name="connsiteX22" fmla="*/ 644797 w 2672836"/>
              <a:gd name="connsiteY22" fmla="*/ 2967796 h 4097704"/>
              <a:gd name="connsiteX23" fmla="*/ 304619 w 2672836"/>
              <a:gd name="connsiteY23" fmla="*/ 2750082 h 4097704"/>
              <a:gd name="connsiteX24" fmla="*/ 46083 w 2672836"/>
              <a:gd name="connsiteY24" fmla="*/ 2532368 h 4097704"/>
              <a:gd name="connsiteX25" fmla="*/ 40739 w 2672836"/>
              <a:gd name="connsiteY25" fmla="*/ 2768532 h 4097704"/>
              <a:gd name="connsiteX0" fmla="*/ 15226 w 2672836"/>
              <a:gd name="connsiteY0" fmla="*/ 2841828 h 4097704"/>
              <a:gd name="connsiteX1" fmla="*/ 60023 w 2672836"/>
              <a:gd name="connsiteY1" fmla="*/ 3893599 h 4097704"/>
              <a:gd name="connsiteX2" fmla="*/ 385929 w 2672836"/>
              <a:gd name="connsiteY2" fmla="*/ 4056575 h 4097704"/>
              <a:gd name="connsiteX3" fmla="*/ 2303869 w 2672836"/>
              <a:gd name="connsiteY3" fmla="*/ 4056575 h 4097704"/>
              <a:gd name="connsiteX4" fmla="*/ 2605226 w 2672836"/>
              <a:gd name="connsiteY4" fmla="*/ 3594036 h 4097704"/>
              <a:gd name="connsiteX5" fmla="*/ 2619499 w 2672836"/>
              <a:gd name="connsiteY5" fmla="*/ 409241 h 4097704"/>
              <a:gd name="connsiteX6" fmla="*/ 2005512 w 2672836"/>
              <a:gd name="connsiteY6" fmla="*/ 69475 h 4097704"/>
              <a:gd name="connsiteX7" fmla="*/ 1515654 w 2672836"/>
              <a:gd name="connsiteY7" fmla="*/ 668189 h 4097704"/>
              <a:gd name="connsiteX8" fmla="*/ 1080226 w 2672836"/>
              <a:gd name="connsiteY8" fmla="*/ 940332 h 4097704"/>
              <a:gd name="connsiteX9" fmla="*/ 944154 w 2672836"/>
              <a:gd name="connsiteY9" fmla="*/ 1090011 h 4097704"/>
              <a:gd name="connsiteX10" fmla="*/ 944154 w 2672836"/>
              <a:gd name="connsiteY10" fmla="*/ 1375761 h 4097704"/>
              <a:gd name="connsiteX11" fmla="*/ 1066619 w 2672836"/>
              <a:gd name="connsiteY11" fmla="*/ 1647904 h 4097704"/>
              <a:gd name="connsiteX12" fmla="*/ 1257119 w 2672836"/>
              <a:gd name="connsiteY12" fmla="*/ 1879225 h 4097704"/>
              <a:gd name="connsiteX13" fmla="*/ 1393190 w 2672836"/>
              <a:gd name="connsiteY13" fmla="*/ 2028904 h 4097704"/>
              <a:gd name="connsiteX14" fmla="*/ 1529262 w 2672836"/>
              <a:gd name="connsiteY14" fmla="*/ 2164975 h 4097704"/>
              <a:gd name="connsiteX15" fmla="*/ 1651726 w 2672836"/>
              <a:gd name="connsiteY15" fmla="*/ 2287439 h 4097704"/>
              <a:gd name="connsiteX16" fmla="*/ 1801404 w 2672836"/>
              <a:gd name="connsiteY16" fmla="*/ 2423511 h 4097704"/>
              <a:gd name="connsiteX17" fmla="*/ 1978297 w 2672836"/>
              <a:gd name="connsiteY17" fmla="*/ 2545975 h 4097704"/>
              <a:gd name="connsiteX18" fmla="*/ 1883047 w 2672836"/>
              <a:gd name="connsiteY18" fmla="*/ 2804511 h 4097704"/>
              <a:gd name="connsiteX19" fmla="*/ 1651726 w 2672836"/>
              <a:gd name="connsiteY19" fmla="*/ 3022225 h 4097704"/>
              <a:gd name="connsiteX20" fmla="*/ 1365976 w 2672836"/>
              <a:gd name="connsiteY20" fmla="*/ 3131082 h 4097704"/>
              <a:gd name="connsiteX21" fmla="*/ 944154 w 2672836"/>
              <a:gd name="connsiteY21" fmla="*/ 3103868 h 4097704"/>
              <a:gd name="connsiteX22" fmla="*/ 644797 w 2672836"/>
              <a:gd name="connsiteY22" fmla="*/ 2967796 h 4097704"/>
              <a:gd name="connsiteX23" fmla="*/ 304619 w 2672836"/>
              <a:gd name="connsiteY23" fmla="*/ 2750082 h 4097704"/>
              <a:gd name="connsiteX24" fmla="*/ 46083 w 2672836"/>
              <a:gd name="connsiteY24" fmla="*/ 2532368 h 4097704"/>
              <a:gd name="connsiteX25" fmla="*/ 15025 w 2672836"/>
              <a:gd name="connsiteY25" fmla="*/ 2773584 h 4097704"/>
              <a:gd name="connsiteX0" fmla="*/ 25703 w 2683313"/>
              <a:gd name="connsiteY0" fmla="*/ 2841828 h 4097704"/>
              <a:gd name="connsiteX1" fmla="*/ 70500 w 2683313"/>
              <a:gd name="connsiteY1" fmla="*/ 3893599 h 4097704"/>
              <a:gd name="connsiteX2" fmla="*/ 396406 w 2683313"/>
              <a:gd name="connsiteY2" fmla="*/ 4056575 h 4097704"/>
              <a:gd name="connsiteX3" fmla="*/ 2314346 w 2683313"/>
              <a:gd name="connsiteY3" fmla="*/ 4056575 h 4097704"/>
              <a:gd name="connsiteX4" fmla="*/ 2615703 w 2683313"/>
              <a:gd name="connsiteY4" fmla="*/ 3594036 h 4097704"/>
              <a:gd name="connsiteX5" fmla="*/ 2629976 w 2683313"/>
              <a:gd name="connsiteY5" fmla="*/ 409241 h 4097704"/>
              <a:gd name="connsiteX6" fmla="*/ 2015989 w 2683313"/>
              <a:gd name="connsiteY6" fmla="*/ 69475 h 4097704"/>
              <a:gd name="connsiteX7" fmla="*/ 1526131 w 2683313"/>
              <a:gd name="connsiteY7" fmla="*/ 668189 h 4097704"/>
              <a:gd name="connsiteX8" fmla="*/ 1090703 w 2683313"/>
              <a:gd name="connsiteY8" fmla="*/ 940332 h 4097704"/>
              <a:gd name="connsiteX9" fmla="*/ 954631 w 2683313"/>
              <a:gd name="connsiteY9" fmla="*/ 1090011 h 4097704"/>
              <a:gd name="connsiteX10" fmla="*/ 954631 w 2683313"/>
              <a:gd name="connsiteY10" fmla="*/ 1375761 h 4097704"/>
              <a:gd name="connsiteX11" fmla="*/ 1077096 w 2683313"/>
              <a:gd name="connsiteY11" fmla="*/ 1647904 h 4097704"/>
              <a:gd name="connsiteX12" fmla="*/ 1267596 w 2683313"/>
              <a:gd name="connsiteY12" fmla="*/ 1879225 h 4097704"/>
              <a:gd name="connsiteX13" fmla="*/ 1403667 w 2683313"/>
              <a:gd name="connsiteY13" fmla="*/ 2028904 h 4097704"/>
              <a:gd name="connsiteX14" fmla="*/ 1539739 w 2683313"/>
              <a:gd name="connsiteY14" fmla="*/ 2164975 h 4097704"/>
              <a:gd name="connsiteX15" fmla="*/ 1662203 w 2683313"/>
              <a:gd name="connsiteY15" fmla="*/ 2287439 h 4097704"/>
              <a:gd name="connsiteX16" fmla="*/ 1811881 w 2683313"/>
              <a:gd name="connsiteY16" fmla="*/ 2423511 h 4097704"/>
              <a:gd name="connsiteX17" fmla="*/ 1988774 w 2683313"/>
              <a:gd name="connsiteY17" fmla="*/ 2545975 h 4097704"/>
              <a:gd name="connsiteX18" fmla="*/ 1893524 w 2683313"/>
              <a:gd name="connsiteY18" fmla="*/ 2804511 h 4097704"/>
              <a:gd name="connsiteX19" fmla="*/ 1662203 w 2683313"/>
              <a:gd name="connsiteY19" fmla="*/ 3022225 h 4097704"/>
              <a:gd name="connsiteX20" fmla="*/ 1376453 w 2683313"/>
              <a:gd name="connsiteY20" fmla="*/ 3131082 h 4097704"/>
              <a:gd name="connsiteX21" fmla="*/ 954631 w 2683313"/>
              <a:gd name="connsiteY21" fmla="*/ 3103868 h 4097704"/>
              <a:gd name="connsiteX22" fmla="*/ 655274 w 2683313"/>
              <a:gd name="connsiteY22" fmla="*/ 2967796 h 4097704"/>
              <a:gd name="connsiteX23" fmla="*/ 315096 w 2683313"/>
              <a:gd name="connsiteY23" fmla="*/ 2750082 h 4097704"/>
              <a:gd name="connsiteX24" fmla="*/ 20560 w 2683313"/>
              <a:gd name="connsiteY24" fmla="*/ 2486908 h 4097704"/>
              <a:gd name="connsiteX25" fmla="*/ 25502 w 2683313"/>
              <a:gd name="connsiteY25" fmla="*/ 2773584 h 4097704"/>
              <a:gd name="connsiteX0" fmla="*/ 27985 w 2685595"/>
              <a:gd name="connsiteY0" fmla="*/ 2841828 h 4097704"/>
              <a:gd name="connsiteX1" fmla="*/ 72782 w 2685595"/>
              <a:gd name="connsiteY1" fmla="*/ 3893599 h 4097704"/>
              <a:gd name="connsiteX2" fmla="*/ 398688 w 2685595"/>
              <a:gd name="connsiteY2" fmla="*/ 4056575 h 4097704"/>
              <a:gd name="connsiteX3" fmla="*/ 2316628 w 2685595"/>
              <a:gd name="connsiteY3" fmla="*/ 4056575 h 4097704"/>
              <a:gd name="connsiteX4" fmla="*/ 2617985 w 2685595"/>
              <a:gd name="connsiteY4" fmla="*/ 3594036 h 4097704"/>
              <a:gd name="connsiteX5" fmla="*/ 2632258 w 2685595"/>
              <a:gd name="connsiteY5" fmla="*/ 409241 h 4097704"/>
              <a:gd name="connsiteX6" fmla="*/ 2018271 w 2685595"/>
              <a:gd name="connsiteY6" fmla="*/ 69475 h 4097704"/>
              <a:gd name="connsiteX7" fmla="*/ 1528413 w 2685595"/>
              <a:gd name="connsiteY7" fmla="*/ 668189 h 4097704"/>
              <a:gd name="connsiteX8" fmla="*/ 1092985 w 2685595"/>
              <a:gd name="connsiteY8" fmla="*/ 940332 h 4097704"/>
              <a:gd name="connsiteX9" fmla="*/ 956913 w 2685595"/>
              <a:gd name="connsiteY9" fmla="*/ 1090011 h 4097704"/>
              <a:gd name="connsiteX10" fmla="*/ 956913 w 2685595"/>
              <a:gd name="connsiteY10" fmla="*/ 1375761 h 4097704"/>
              <a:gd name="connsiteX11" fmla="*/ 1079378 w 2685595"/>
              <a:gd name="connsiteY11" fmla="*/ 1647904 h 4097704"/>
              <a:gd name="connsiteX12" fmla="*/ 1269878 w 2685595"/>
              <a:gd name="connsiteY12" fmla="*/ 1879225 h 4097704"/>
              <a:gd name="connsiteX13" fmla="*/ 1405949 w 2685595"/>
              <a:gd name="connsiteY13" fmla="*/ 2028904 h 4097704"/>
              <a:gd name="connsiteX14" fmla="*/ 1542021 w 2685595"/>
              <a:gd name="connsiteY14" fmla="*/ 2164975 h 4097704"/>
              <a:gd name="connsiteX15" fmla="*/ 1664485 w 2685595"/>
              <a:gd name="connsiteY15" fmla="*/ 2287439 h 4097704"/>
              <a:gd name="connsiteX16" fmla="*/ 1814163 w 2685595"/>
              <a:gd name="connsiteY16" fmla="*/ 2423511 h 4097704"/>
              <a:gd name="connsiteX17" fmla="*/ 1991056 w 2685595"/>
              <a:gd name="connsiteY17" fmla="*/ 2545975 h 4097704"/>
              <a:gd name="connsiteX18" fmla="*/ 1895806 w 2685595"/>
              <a:gd name="connsiteY18" fmla="*/ 2804511 h 4097704"/>
              <a:gd name="connsiteX19" fmla="*/ 1664485 w 2685595"/>
              <a:gd name="connsiteY19" fmla="*/ 3022225 h 4097704"/>
              <a:gd name="connsiteX20" fmla="*/ 1378735 w 2685595"/>
              <a:gd name="connsiteY20" fmla="*/ 3131082 h 4097704"/>
              <a:gd name="connsiteX21" fmla="*/ 956913 w 2685595"/>
              <a:gd name="connsiteY21" fmla="*/ 3103868 h 4097704"/>
              <a:gd name="connsiteX22" fmla="*/ 657556 w 2685595"/>
              <a:gd name="connsiteY22" fmla="*/ 2967796 h 4097704"/>
              <a:gd name="connsiteX23" fmla="*/ 317378 w 2685595"/>
              <a:gd name="connsiteY23" fmla="*/ 2750082 h 4097704"/>
              <a:gd name="connsiteX24" fmla="*/ 22842 w 2685595"/>
              <a:gd name="connsiteY24" fmla="*/ 2486908 h 4097704"/>
              <a:gd name="connsiteX25" fmla="*/ 27784 w 2685595"/>
              <a:gd name="connsiteY25" fmla="*/ 2773584 h 4097704"/>
              <a:gd name="connsiteX0" fmla="*/ 15227 w 2672837"/>
              <a:gd name="connsiteY0" fmla="*/ 2841828 h 4097704"/>
              <a:gd name="connsiteX1" fmla="*/ 60024 w 2672837"/>
              <a:gd name="connsiteY1" fmla="*/ 3893599 h 4097704"/>
              <a:gd name="connsiteX2" fmla="*/ 385930 w 2672837"/>
              <a:gd name="connsiteY2" fmla="*/ 4056575 h 4097704"/>
              <a:gd name="connsiteX3" fmla="*/ 2303870 w 2672837"/>
              <a:gd name="connsiteY3" fmla="*/ 4056575 h 4097704"/>
              <a:gd name="connsiteX4" fmla="*/ 2605227 w 2672837"/>
              <a:gd name="connsiteY4" fmla="*/ 3594036 h 4097704"/>
              <a:gd name="connsiteX5" fmla="*/ 2619500 w 2672837"/>
              <a:gd name="connsiteY5" fmla="*/ 409241 h 4097704"/>
              <a:gd name="connsiteX6" fmla="*/ 2005513 w 2672837"/>
              <a:gd name="connsiteY6" fmla="*/ 69475 h 4097704"/>
              <a:gd name="connsiteX7" fmla="*/ 1515655 w 2672837"/>
              <a:gd name="connsiteY7" fmla="*/ 668189 h 4097704"/>
              <a:gd name="connsiteX8" fmla="*/ 1080227 w 2672837"/>
              <a:gd name="connsiteY8" fmla="*/ 940332 h 4097704"/>
              <a:gd name="connsiteX9" fmla="*/ 944155 w 2672837"/>
              <a:gd name="connsiteY9" fmla="*/ 1090011 h 4097704"/>
              <a:gd name="connsiteX10" fmla="*/ 944155 w 2672837"/>
              <a:gd name="connsiteY10" fmla="*/ 1375761 h 4097704"/>
              <a:gd name="connsiteX11" fmla="*/ 1066620 w 2672837"/>
              <a:gd name="connsiteY11" fmla="*/ 1647904 h 4097704"/>
              <a:gd name="connsiteX12" fmla="*/ 1257120 w 2672837"/>
              <a:gd name="connsiteY12" fmla="*/ 1879225 h 4097704"/>
              <a:gd name="connsiteX13" fmla="*/ 1393191 w 2672837"/>
              <a:gd name="connsiteY13" fmla="*/ 2028904 h 4097704"/>
              <a:gd name="connsiteX14" fmla="*/ 1529263 w 2672837"/>
              <a:gd name="connsiteY14" fmla="*/ 2164975 h 4097704"/>
              <a:gd name="connsiteX15" fmla="*/ 1651727 w 2672837"/>
              <a:gd name="connsiteY15" fmla="*/ 2287439 h 4097704"/>
              <a:gd name="connsiteX16" fmla="*/ 1801405 w 2672837"/>
              <a:gd name="connsiteY16" fmla="*/ 2423511 h 4097704"/>
              <a:gd name="connsiteX17" fmla="*/ 1978298 w 2672837"/>
              <a:gd name="connsiteY17" fmla="*/ 2545975 h 4097704"/>
              <a:gd name="connsiteX18" fmla="*/ 1883048 w 2672837"/>
              <a:gd name="connsiteY18" fmla="*/ 2804511 h 4097704"/>
              <a:gd name="connsiteX19" fmla="*/ 1651727 w 2672837"/>
              <a:gd name="connsiteY19" fmla="*/ 3022225 h 4097704"/>
              <a:gd name="connsiteX20" fmla="*/ 1365977 w 2672837"/>
              <a:gd name="connsiteY20" fmla="*/ 3131082 h 4097704"/>
              <a:gd name="connsiteX21" fmla="*/ 944155 w 2672837"/>
              <a:gd name="connsiteY21" fmla="*/ 3103868 h 4097704"/>
              <a:gd name="connsiteX22" fmla="*/ 644798 w 2672837"/>
              <a:gd name="connsiteY22" fmla="*/ 2967796 h 4097704"/>
              <a:gd name="connsiteX23" fmla="*/ 304620 w 2672837"/>
              <a:gd name="connsiteY23" fmla="*/ 2750082 h 4097704"/>
              <a:gd name="connsiteX24" fmla="*/ 40941 w 2672837"/>
              <a:gd name="connsiteY24" fmla="*/ 2481857 h 4097704"/>
              <a:gd name="connsiteX25" fmla="*/ 15026 w 2672837"/>
              <a:gd name="connsiteY25" fmla="*/ 2773584 h 4097704"/>
              <a:gd name="connsiteX0" fmla="*/ 15227 w 2672837"/>
              <a:gd name="connsiteY0" fmla="*/ 2841828 h 4097704"/>
              <a:gd name="connsiteX1" fmla="*/ 60024 w 2672837"/>
              <a:gd name="connsiteY1" fmla="*/ 3893599 h 4097704"/>
              <a:gd name="connsiteX2" fmla="*/ 385930 w 2672837"/>
              <a:gd name="connsiteY2" fmla="*/ 4056575 h 4097704"/>
              <a:gd name="connsiteX3" fmla="*/ 2303870 w 2672837"/>
              <a:gd name="connsiteY3" fmla="*/ 4056575 h 4097704"/>
              <a:gd name="connsiteX4" fmla="*/ 2605227 w 2672837"/>
              <a:gd name="connsiteY4" fmla="*/ 3594036 h 4097704"/>
              <a:gd name="connsiteX5" fmla="*/ 2619500 w 2672837"/>
              <a:gd name="connsiteY5" fmla="*/ 409241 h 4097704"/>
              <a:gd name="connsiteX6" fmla="*/ 2005513 w 2672837"/>
              <a:gd name="connsiteY6" fmla="*/ 69475 h 4097704"/>
              <a:gd name="connsiteX7" fmla="*/ 1515655 w 2672837"/>
              <a:gd name="connsiteY7" fmla="*/ 668189 h 4097704"/>
              <a:gd name="connsiteX8" fmla="*/ 1080227 w 2672837"/>
              <a:gd name="connsiteY8" fmla="*/ 940332 h 4097704"/>
              <a:gd name="connsiteX9" fmla="*/ 944155 w 2672837"/>
              <a:gd name="connsiteY9" fmla="*/ 1090011 h 4097704"/>
              <a:gd name="connsiteX10" fmla="*/ 944155 w 2672837"/>
              <a:gd name="connsiteY10" fmla="*/ 1375761 h 4097704"/>
              <a:gd name="connsiteX11" fmla="*/ 1066620 w 2672837"/>
              <a:gd name="connsiteY11" fmla="*/ 1647904 h 4097704"/>
              <a:gd name="connsiteX12" fmla="*/ 1257120 w 2672837"/>
              <a:gd name="connsiteY12" fmla="*/ 1879225 h 4097704"/>
              <a:gd name="connsiteX13" fmla="*/ 1393191 w 2672837"/>
              <a:gd name="connsiteY13" fmla="*/ 2028904 h 4097704"/>
              <a:gd name="connsiteX14" fmla="*/ 1529263 w 2672837"/>
              <a:gd name="connsiteY14" fmla="*/ 2164975 h 4097704"/>
              <a:gd name="connsiteX15" fmla="*/ 1651727 w 2672837"/>
              <a:gd name="connsiteY15" fmla="*/ 2287439 h 4097704"/>
              <a:gd name="connsiteX16" fmla="*/ 1801405 w 2672837"/>
              <a:gd name="connsiteY16" fmla="*/ 2423511 h 4097704"/>
              <a:gd name="connsiteX17" fmla="*/ 1978298 w 2672837"/>
              <a:gd name="connsiteY17" fmla="*/ 2545975 h 4097704"/>
              <a:gd name="connsiteX18" fmla="*/ 1883048 w 2672837"/>
              <a:gd name="connsiteY18" fmla="*/ 2804511 h 4097704"/>
              <a:gd name="connsiteX19" fmla="*/ 1651727 w 2672837"/>
              <a:gd name="connsiteY19" fmla="*/ 3022225 h 4097704"/>
              <a:gd name="connsiteX20" fmla="*/ 1365977 w 2672837"/>
              <a:gd name="connsiteY20" fmla="*/ 3131082 h 4097704"/>
              <a:gd name="connsiteX21" fmla="*/ 944155 w 2672837"/>
              <a:gd name="connsiteY21" fmla="*/ 3103868 h 4097704"/>
              <a:gd name="connsiteX22" fmla="*/ 644798 w 2672837"/>
              <a:gd name="connsiteY22" fmla="*/ 2967796 h 4097704"/>
              <a:gd name="connsiteX23" fmla="*/ 304620 w 2672837"/>
              <a:gd name="connsiteY23" fmla="*/ 2750082 h 4097704"/>
              <a:gd name="connsiteX24" fmla="*/ 40941 w 2672837"/>
              <a:gd name="connsiteY24" fmla="*/ 2481857 h 4097704"/>
              <a:gd name="connsiteX25" fmla="*/ 51025 w 2672837"/>
              <a:gd name="connsiteY25" fmla="*/ 2773585 h 4097704"/>
              <a:gd name="connsiteX0" fmla="*/ 19483 w 2661665"/>
              <a:gd name="connsiteY0" fmla="*/ 2851930 h 4097704"/>
              <a:gd name="connsiteX1" fmla="*/ 48852 w 2661665"/>
              <a:gd name="connsiteY1" fmla="*/ 3893599 h 4097704"/>
              <a:gd name="connsiteX2" fmla="*/ 374758 w 2661665"/>
              <a:gd name="connsiteY2" fmla="*/ 4056575 h 4097704"/>
              <a:gd name="connsiteX3" fmla="*/ 2292698 w 2661665"/>
              <a:gd name="connsiteY3" fmla="*/ 4056575 h 4097704"/>
              <a:gd name="connsiteX4" fmla="*/ 2594055 w 2661665"/>
              <a:gd name="connsiteY4" fmla="*/ 3594036 h 4097704"/>
              <a:gd name="connsiteX5" fmla="*/ 2608328 w 2661665"/>
              <a:gd name="connsiteY5" fmla="*/ 409241 h 4097704"/>
              <a:gd name="connsiteX6" fmla="*/ 1994341 w 2661665"/>
              <a:gd name="connsiteY6" fmla="*/ 69475 h 4097704"/>
              <a:gd name="connsiteX7" fmla="*/ 1504483 w 2661665"/>
              <a:gd name="connsiteY7" fmla="*/ 668189 h 4097704"/>
              <a:gd name="connsiteX8" fmla="*/ 1069055 w 2661665"/>
              <a:gd name="connsiteY8" fmla="*/ 940332 h 4097704"/>
              <a:gd name="connsiteX9" fmla="*/ 932983 w 2661665"/>
              <a:gd name="connsiteY9" fmla="*/ 1090011 h 4097704"/>
              <a:gd name="connsiteX10" fmla="*/ 932983 w 2661665"/>
              <a:gd name="connsiteY10" fmla="*/ 1375761 h 4097704"/>
              <a:gd name="connsiteX11" fmla="*/ 1055448 w 2661665"/>
              <a:gd name="connsiteY11" fmla="*/ 1647904 h 4097704"/>
              <a:gd name="connsiteX12" fmla="*/ 1245948 w 2661665"/>
              <a:gd name="connsiteY12" fmla="*/ 1879225 h 4097704"/>
              <a:gd name="connsiteX13" fmla="*/ 1382019 w 2661665"/>
              <a:gd name="connsiteY13" fmla="*/ 2028904 h 4097704"/>
              <a:gd name="connsiteX14" fmla="*/ 1518091 w 2661665"/>
              <a:gd name="connsiteY14" fmla="*/ 2164975 h 4097704"/>
              <a:gd name="connsiteX15" fmla="*/ 1640555 w 2661665"/>
              <a:gd name="connsiteY15" fmla="*/ 2287439 h 4097704"/>
              <a:gd name="connsiteX16" fmla="*/ 1790233 w 2661665"/>
              <a:gd name="connsiteY16" fmla="*/ 2423511 h 4097704"/>
              <a:gd name="connsiteX17" fmla="*/ 1967126 w 2661665"/>
              <a:gd name="connsiteY17" fmla="*/ 2545975 h 4097704"/>
              <a:gd name="connsiteX18" fmla="*/ 1871876 w 2661665"/>
              <a:gd name="connsiteY18" fmla="*/ 2804511 h 4097704"/>
              <a:gd name="connsiteX19" fmla="*/ 1640555 w 2661665"/>
              <a:gd name="connsiteY19" fmla="*/ 3022225 h 4097704"/>
              <a:gd name="connsiteX20" fmla="*/ 1354805 w 2661665"/>
              <a:gd name="connsiteY20" fmla="*/ 3131082 h 4097704"/>
              <a:gd name="connsiteX21" fmla="*/ 932983 w 2661665"/>
              <a:gd name="connsiteY21" fmla="*/ 3103868 h 4097704"/>
              <a:gd name="connsiteX22" fmla="*/ 633626 w 2661665"/>
              <a:gd name="connsiteY22" fmla="*/ 2967796 h 4097704"/>
              <a:gd name="connsiteX23" fmla="*/ 293448 w 2661665"/>
              <a:gd name="connsiteY23" fmla="*/ 2750082 h 4097704"/>
              <a:gd name="connsiteX24" fmla="*/ 29769 w 2661665"/>
              <a:gd name="connsiteY24" fmla="*/ 2481857 h 4097704"/>
              <a:gd name="connsiteX25" fmla="*/ 39853 w 2661665"/>
              <a:gd name="connsiteY25" fmla="*/ 2773585 h 4097704"/>
              <a:gd name="connsiteX0" fmla="*/ 6481 w 2648663"/>
              <a:gd name="connsiteY0" fmla="*/ 2851930 h 4097704"/>
              <a:gd name="connsiteX1" fmla="*/ 35850 w 2648663"/>
              <a:gd name="connsiteY1" fmla="*/ 3893599 h 4097704"/>
              <a:gd name="connsiteX2" fmla="*/ 361756 w 2648663"/>
              <a:gd name="connsiteY2" fmla="*/ 4056575 h 4097704"/>
              <a:gd name="connsiteX3" fmla="*/ 2279696 w 2648663"/>
              <a:gd name="connsiteY3" fmla="*/ 4056575 h 4097704"/>
              <a:gd name="connsiteX4" fmla="*/ 2581053 w 2648663"/>
              <a:gd name="connsiteY4" fmla="*/ 3594036 h 4097704"/>
              <a:gd name="connsiteX5" fmla="*/ 2595326 w 2648663"/>
              <a:gd name="connsiteY5" fmla="*/ 409241 h 4097704"/>
              <a:gd name="connsiteX6" fmla="*/ 1981339 w 2648663"/>
              <a:gd name="connsiteY6" fmla="*/ 69475 h 4097704"/>
              <a:gd name="connsiteX7" fmla="*/ 1491481 w 2648663"/>
              <a:gd name="connsiteY7" fmla="*/ 668189 h 4097704"/>
              <a:gd name="connsiteX8" fmla="*/ 1056053 w 2648663"/>
              <a:gd name="connsiteY8" fmla="*/ 940332 h 4097704"/>
              <a:gd name="connsiteX9" fmla="*/ 919981 w 2648663"/>
              <a:gd name="connsiteY9" fmla="*/ 1090011 h 4097704"/>
              <a:gd name="connsiteX10" fmla="*/ 919981 w 2648663"/>
              <a:gd name="connsiteY10" fmla="*/ 1375761 h 4097704"/>
              <a:gd name="connsiteX11" fmla="*/ 1042446 w 2648663"/>
              <a:gd name="connsiteY11" fmla="*/ 1647904 h 4097704"/>
              <a:gd name="connsiteX12" fmla="*/ 1232946 w 2648663"/>
              <a:gd name="connsiteY12" fmla="*/ 1879225 h 4097704"/>
              <a:gd name="connsiteX13" fmla="*/ 1369017 w 2648663"/>
              <a:gd name="connsiteY13" fmla="*/ 2028904 h 4097704"/>
              <a:gd name="connsiteX14" fmla="*/ 1505089 w 2648663"/>
              <a:gd name="connsiteY14" fmla="*/ 2164975 h 4097704"/>
              <a:gd name="connsiteX15" fmla="*/ 1627553 w 2648663"/>
              <a:gd name="connsiteY15" fmla="*/ 2287439 h 4097704"/>
              <a:gd name="connsiteX16" fmla="*/ 1777231 w 2648663"/>
              <a:gd name="connsiteY16" fmla="*/ 2423511 h 4097704"/>
              <a:gd name="connsiteX17" fmla="*/ 1954124 w 2648663"/>
              <a:gd name="connsiteY17" fmla="*/ 2545975 h 4097704"/>
              <a:gd name="connsiteX18" fmla="*/ 1858874 w 2648663"/>
              <a:gd name="connsiteY18" fmla="*/ 2804511 h 4097704"/>
              <a:gd name="connsiteX19" fmla="*/ 1627553 w 2648663"/>
              <a:gd name="connsiteY19" fmla="*/ 3022225 h 4097704"/>
              <a:gd name="connsiteX20" fmla="*/ 1341803 w 2648663"/>
              <a:gd name="connsiteY20" fmla="*/ 3131082 h 4097704"/>
              <a:gd name="connsiteX21" fmla="*/ 919981 w 2648663"/>
              <a:gd name="connsiteY21" fmla="*/ 3103868 h 4097704"/>
              <a:gd name="connsiteX22" fmla="*/ 620624 w 2648663"/>
              <a:gd name="connsiteY22" fmla="*/ 2967796 h 4097704"/>
              <a:gd name="connsiteX23" fmla="*/ 280446 w 2648663"/>
              <a:gd name="connsiteY23" fmla="*/ 2750082 h 4097704"/>
              <a:gd name="connsiteX24" fmla="*/ 16767 w 2648663"/>
              <a:gd name="connsiteY24" fmla="*/ 2481857 h 4097704"/>
              <a:gd name="connsiteX25" fmla="*/ 26851 w 2648663"/>
              <a:gd name="connsiteY25" fmla="*/ 2773585 h 4097704"/>
              <a:gd name="connsiteX0" fmla="*/ 6481 w 2648663"/>
              <a:gd name="connsiteY0" fmla="*/ 2851930 h 4097943"/>
              <a:gd name="connsiteX1" fmla="*/ 40994 w 2648663"/>
              <a:gd name="connsiteY1" fmla="*/ 3888548 h 4097943"/>
              <a:gd name="connsiteX2" fmla="*/ 361756 w 2648663"/>
              <a:gd name="connsiteY2" fmla="*/ 4056575 h 4097943"/>
              <a:gd name="connsiteX3" fmla="*/ 2279696 w 2648663"/>
              <a:gd name="connsiteY3" fmla="*/ 4056575 h 4097943"/>
              <a:gd name="connsiteX4" fmla="*/ 2581053 w 2648663"/>
              <a:gd name="connsiteY4" fmla="*/ 3594036 h 4097943"/>
              <a:gd name="connsiteX5" fmla="*/ 2595326 w 2648663"/>
              <a:gd name="connsiteY5" fmla="*/ 409241 h 4097943"/>
              <a:gd name="connsiteX6" fmla="*/ 1981339 w 2648663"/>
              <a:gd name="connsiteY6" fmla="*/ 69475 h 4097943"/>
              <a:gd name="connsiteX7" fmla="*/ 1491481 w 2648663"/>
              <a:gd name="connsiteY7" fmla="*/ 668189 h 4097943"/>
              <a:gd name="connsiteX8" fmla="*/ 1056053 w 2648663"/>
              <a:gd name="connsiteY8" fmla="*/ 940332 h 4097943"/>
              <a:gd name="connsiteX9" fmla="*/ 919981 w 2648663"/>
              <a:gd name="connsiteY9" fmla="*/ 1090011 h 4097943"/>
              <a:gd name="connsiteX10" fmla="*/ 919981 w 2648663"/>
              <a:gd name="connsiteY10" fmla="*/ 1375761 h 4097943"/>
              <a:gd name="connsiteX11" fmla="*/ 1042446 w 2648663"/>
              <a:gd name="connsiteY11" fmla="*/ 1647904 h 4097943"/>
              <a:gd name="connsiteX12" fmla="*/ 1232946 w 2648663"/>
              <a:gd name="connsiteY12" fmla="*/ 1879225 h 4097943"/>
              <a:gd name="connsiteX13" fmla="*/ 1369017 w 2648663"/>
              <a:gd name="connsiteY13" fmla="*/ 2028904 h 4097943"/>
              <a:gd name="connsiteX14" fmla="*/ 1505089 w 2648663"/>
              <a:gd name="connsiteY14" fmla="*/ 2164975 h 4097943"/>
              <a:gd name="connsiteX15" fmla="*/ 1627553 w 2648663"/>
              <a:gd name="connsiteY15" fmla="*/ 2287439 h 4097943"/>
              <a:gd name="connsiteX16" fmla="*/ 1777231 w 2648663"/>
              <a:gd name="connsiteY16" fmla="*/ 2423511 h 4097943"/>
              <a:gd name="connsiteX17" fmla="*/ 1954124 w 2648663"/>
              <a:gd name="connsiteY17" fmla="*/ 2545975 h 4097943"/>
              <a:gd name="connsiteX18" fmla="*/ 1858874 w 2648663"/>
              <a:gd name="connsiteY18" fmla="*/ 2804511 h 4097943"/>
              <a:gd name="connsiteX19" fmla="*/ 1627553 w 2648663"/>
              <a:gd name="connsiteY19" fmla="*/ 3022225 h 4097943"/>
              <a:gd name="connsiteX20" fmla="*/ 1341803 w 2648663"/>
              <a:gd name="connsiteY20" fmla="*/ 3131082 h 4097943"/>
              <a:gd name="connsiteX21" fmla="*/ 919981 w 2648663"/>
              <a:gd name="connsiteY21" fmla="*/ 3103868 h 4097943"/>
              <a:gd name="connsiteX22" fmla="*/ 620624 w 2648663"/>
              <a:gd name="connsiteY22" fmla="*/ 2967796 h 4097943"/>
              <a:gd name="connsiteX23" fmla="*/ 280446 w 2648663"/>
              <a:gd name="connsiteY23" fmla="*/ 2750082 h 4097943"/>
              <a:gd name="connsiteX24" fmla="*/ 16767 w 2648663"/>
              <a:gd name="connsiteY24" fmla="*/ 2481857 h 4097943"/>
              <a:gd name="connsiteX25" fmla="*/ 26851 w 2648663"/>
              <a:gd name="connsiteY25" fmla="*/ 2773585 h 4097943"/>
              <a:gd name="connsiteX0" fmla="*/ 6481 w 2648663"/>
              <a:gd name="connsiteY0" fmla="*/ 2851930 h 4097943"/>
              <a:gd name="connsiteX1" fmla="*/ 40994 w 2648663"/>
              <a:gd name="connsiteY1" fmla="*/ 3888548 h 4097943"/>
              <a:gd name="connsiteX2" fmla="*/ 361756 w 2648663"/>
              <a:gd name="connsiteY2" fmla="*/ 4056575 h 4097943"/>
              <a:gd name="connsiteX3" fmla="*/ 2279696 w 2648663"/>
              <a:gd name="connsiteY3" fmla="*/ 4056575 h 4097943"/>
              <a:gd name="connsiteX4" fmla="*/ 2581053 w 2648663"/>
              <a:gd name="connsiteY4" fmla="*/ 3594036 h 4097943"/>
              <a:gd name="connsiteX5" fmla="*/ 2595326 w 2648663"/>
              <a:gd name="connsiteY5" fmla="*/ 409241 h 4097943"/>
              <a:gd name="connsiteX6" fmla="*/ 1981339 w 2648663"/>
              <a:gd name="connsiteY6" fmla="*/ 69475 h 4097943"/>
              <a:gd name="connsiteX7" fmla="*/ 1491481 w 2648663"/>
              <a:gd name="connsiteY7" fmla="*/ 668189 h 4097943"/>
              <a:gd name="connsiteX8" fmla="*/ 1056053 w 2648663"/>
              <a:gd name="connsiteY8" fmla="*/ 940332 h 4097943"/>
              <a:gd name="connsiteX9" fmla="*/ 919981 w 2648663"/>
              <a:gd name="connsiteY9" fmla="*/ 1090011 h 4097943"/>
              <a:gd name="connsiteX10" fmla="*/ 919981 w 2648663"/>
              <a:gd name="connsiteY10" fmla="*/ 1375761 h 4097943"/>
              <a:gd name="connsiteX11" fmla="*/ 1042446 w 2648663"/>
              <a:gd name="connsiteY11" fmla="*/ 1647904 h 4097943"/>
              <a:gd name="connsiteX12" fmla="*/ 1232946 w 2648663"/>
              <a:gd name="connsiteY12" fmla="*/ 1879225 h 4097943"/>
              <a:gd name="connsiteX13" fmla="*/ 1369017 w 2648663"/>
              <a:gd name="connsiteY13" fmla="*/ 2028904 h 4097943"/>
              <a:gd name="connsiteX14" fmla="*/ 1505089 w 2648663"/>
              <a:gd name="connsiteY14" fmla="*/ 2164975 h 4097943"/>
              <a:gd name="connsiteX15" fmla="*/ 1627553 w 2648663"/>
              <a:gd name="connsiteY15" fmla="*/ 2287439 h 4097943"/>
              <a:gd name="connsiteX16" fmla="*/ 1777231 w 2648663"/>
              <a:gd name="connsiteY16" fmla="*/ 2423511 h 4097943"/>
              <a:gd name="connsiteX17" fmla="*/ 1954124 w 2648663"/>
              <a:gd name="connsiteY17" fmla="*/ 2545975 h 4097943"/>
              <a:gd name="connsiteX18" fmla="*/ 1858874 w 2648663"/>
              <a:gd name="connsiteY18" fmla="*/ 2804511 h 4097943"/>
              <a:gd name="connsiteX19" fmla="*/ 1627553 w 2648663"/>
              <a:gd name="connsiteY19" fmla="*/ 3022225 h 4097943"/>
              <a:gd name="connsiteX20" fmla="*/ 1341803 w 2648663"/>
              <a:gd name="connsiteY20" fmla="*/ 3131082 h 4097943"/>
              <a:gd name="connsiteX21" fmla="*/ 919981 w 2648663"/>
              <a:gd name="connsiteY21" fmla="*/ 3103868 h 4097943"/>
              <a:gd name="connsiteX22" fmla="*/ 620624 w 2648663"/>
              <a:gd name="connsiteY22" fmla="*/ 2967796 h 4097943"/>
              <a:gd name="connsiteX23" fmla="*/ 280446 w 2648663"/>
              <a:gd name="connsiteY23" fmla="*/ 2750082 h 4097943"/>
              <a:gd name="connsiteX24" fmla="*/ 16767 w 2648663"/>
              <a:gd name="connsiteY24" fmla="*/ 2481857 h 4097943"/>
              <a:gd name="connsiteX25" fmla="*/ 26851 w 2648663"/>
              <a:gd name="connsiteY25" fmla="*/ 2773585 h 4097943"/>
              <a:gd name="connsiteX0" fmla="*/ 6481 w 2648663"/>
              <a:gd name="connsiteY0" fmla="*/ 2851930 h 4097943"/>
              <a:gd name="connsiteX1" fmla="*/ 40994 w 2648663"/>
              <a:gd name="connsiteY1" fmla="*/ 3888548 h 4097943"/>
              <a:gd name="connsiteX2" fmla="*/ 361756 w 2648663"/>
              <a:gd name="connsiteY2" fmla="*/ 4056575 h 4097943"/>
              <a:gd name="connsiteX3" fmla="*/ 2279696 w 2648663"/>
              <a:gd name="connsiteY3" fmla="*/ 4056575 h 4097943"/>
              <a:gd name="connsiteX4" fmla="*/ 2581053 w 2648663"/>
              <a:gd name="connsiteY4" fmla="*/ 3594036 h 4097943"/>
              <a:gd name="connsiteX5" fmla="*/ 2595326 w 2648663"/>
              <a:gd name="connsiteY5" fmla="*/ 409241 h 4097943"/>
              <a:gd name="connsiteX6" fmla="*/ 1981339 w 2648663"/>
              <a:gd name="connsiteY6" fmla="*/ 69475 h 4097943"/>
              <a:gd name="connsiteX7" fmla="*/ 1491481 w 2648663"/>
              <a:gd name="connsiteY7" fmla="*/ 668189 h 4097943"/>
              <a:gd name="connsiteX8" fmla="*/ 1056053 w 2648663"/>
              <a:gd name="connsiteY8" fmla="*/ 940332 h 4097943"/>
              <a:gd name="connsiteX9" fmla="*/ 919981 w 2648663"/>
              <a:gd name="connsiteY9" fmla="*/ 1090011 h 4097943"/>
              <a:gd name="connsiteX10" fmla="*/ 919981 w 2648663"/>
              <a:gd name="connsiteY10" fmla="*/ 1375761 h 4097943"/>
              <a:gd name="connsiteX11" fmla="*/ 1042446 w 2648663"/>
              <a:gd name="connsiteY11" fmla="*/ 1647904 h 4097943"/>
              <a:gd name="connsiteX12" fmla="*/ 1232946 w 2648663"/>
              <a:gd name="connsiteY12" fmla="*/ 1879225 h 4097943"/>
              <a:gd name="connsiteX13" fmla="*/ 1369017 w 2648663"/>
              <a:gd name="connsiteY13" fmla="*/ 2028904 h 4097943"/>
              <a:gd name="connsiteX14" fmla="*/ 1505089 w 2648663"/>
              <a:gd name="connsiteY14" fmla="*/ 2164975 h 4097943"/>
              <a:gd name="connsiteX15" fmla="*/ 1627553 w 2648663"/>
              <a:gd name="connsiteY15" fmla="*/ 2287439 h 4097943"/>
              <a:gd name="connsiteX16" fmla="*/ 1777231 w 2648663"/>
              <a:gd name="connsiteY16" fmla="*/ 2423511 h 4097943"/>
              <a:gd name="connsiteX17" fmla="*/ 1954124 w 2648663"/>
              <a:gd name="connsiteY17" fmla="*/ 2545975 h 4097943"/>
              <a:gd name="connsiteX18" fmla="*/ 1858874 w 2648663"/>
              <a:gd name="connsiteY18" fmla="*/ 2804511 h 4097943"/>
              <a:gd name="connsiteX19" fmla="*/ 1627553 w 2648663"/>
              <a:gd name="connsiteY19" fmla="*/ 3022225 h 4097943"/>
              <a:gd name="connsiteX20" fmla="*/ 1341803 w 2648663"/>
              <a:gd name="connsiteY20" fmla="*/ 3131082 h 4097943"/>
              <a:gd name="connsiteX21" fmla="*/ 919981 w 2648663"/>
              <a:gd name="connsiteY21" fmla="*/ 3103868 h 4097943"/>
              <a:gd name="connsiteX22" fmla="*/ 620624 w 2648663"/>
              <a:gd name="connsiteY22" fmla="*/ 2967796 h 4097943"/>
              <a:gd name="connsiteX23" fmla="*/ 280446 w 2648663"/>
              <a:gd name="connsiteY23" fmla="*/ 2750082 h 4097943"/>
              <a:gd name="connsiteX24" fmla="*/ 16767 w 2648663"/>
              <a:gd name="connsiteY24" fmla="*/ 2481857 h 4097943"/>
              <a:gd name="connsiteX25" fmla="*/ 26851 w 2648663"/>
              <a:gd name="connsiteY25" fmla="*/ 2773585 h 4097943"/>
              <a:gd name="connsiteX0" fmla="*/ 6481 w 2648663"/>
              <a:gd name="connsiteY0" fmla="*/ 2851930 h 4097943"/>
              <a:gd name="connsiteX1" fmla="*/ 40994 w 2648663"/>
              <a:gd name="connsiteY1" fmla="*/ 3888548 h 4097943"/>
              <a:gd name="connsiteX2" fmla="*/ 361756 w 2648663"/>
              <a:gd name="connsiteY2" fmla="*/ 4056575 h 4097943"/>
              <a:gd name="connsiteX3" fmla="*/ 2279696 w 2648663"/>
              <a:gd name="connsiteY3" fmla="*/ 4056575 h 4097943"/>
              <a:gd name="connsiteX4" fmla="*/ 2581053 w 2648663"/>
              <a:gd name="connsiteY4" fmla="*/ 3594036 h 4097943"/>
              <a:gd name="connsiteX5" fmla="*/ 2595326 w 2648663"/>
              <a:gd name="connsiteY5" fmla="*/ 409241 h 4097943"/>
              <a:gd name="connsiteX6" fmla="*/ 1981339 w 2648663"/>
              <a:gd name="connsiteY6" fmla="*/ 69475 h 4097943"/>
              <a:gd name="connsiteX7" fmla="*/ 1491481 w 2648663"/>
              <a:gd name="connsiteY7" fmla="*/ 668189 h 4097943"/>
              <a:gd name="connsiteX8" fmla="*/ 1056053 w 2648663"/>
              <a:gd name="connsiteY8" fmla="*/ 940332 h 4097943"/>
              <a:gd name="connsiteX9" fmla="*/ 919981 w 2648663"/>
              <a:gd name="connsiteY9" fmla="*/ 1090011 h 4097943"/>
              <a:gd name="connsiteX10" fmla="*/ 919981 w 2648663"/>
              <a:gd name="connsiteY10" fmla="*/ 1375761 h 4097943"/>
              <a:gd name="connsiteX11" fmla="*/ 1042446 w 2648663"/>
              <a:gd name="connsiteY11" fmla="*/ 1647904 h 4097943"/>
              <a:gd name="connsiteX12" fmla="*/ 1232946 w 2648663"/>
              <a:gd name="connsiteY12" fmla="*/ 1879225 h 4097943"/>
              <a:gd name="connsiteX13" fmla="*/ 1369017 w 2648663"/>
              <a:gd name="connsiteY13" fmla="*/ 2028904 h 4097943"/>
              <a:gd name="connsiteX14" fmla="*/ 1505089 w 2648663"/>
              <a:gd name="connsiteY14" fmla="*/ 2164975 h 4097943"/>
              <a:gd name="connsiteX15" fmla="*/ 1627553 w 2648663"/>
              <a:gd name="connsiteY15" fmla="*/ 2287439 h 4097943"/>
              <a:gd name="connsiteX16" fmla="*/ 1777231 w 2648663"/>
              <a:gd name="connsiteY16" fmla="*/ 2423511 h 4097943"/>
              <a:gd name="connsiteX17" fmla="*/ 1954124 w 2648663"/>
              <a:gd name="connsiteY17" fmla="*/ 2545975 h 4097943"/>
              <a:gd name="connsiteX18" fmla="*/ 1858874 w 2648663"/>
              <a:gd name="connsiteY18" fmla="*/ 2804511 h 4097943"/>
              <a:gd name="connsiteX19" fmla="*/ 1627553 w 2648663"/>
              <a:gd name="connsiteY19" fmla="*/ 3022225 h 4097943"/>
              <a:gd name="connsiteX20" fmla="*/ 1341803 w 2648663"/>
              <a:gd name="connsiteY20" fmla="*/ 3131082 h 4097943"/>
              <a:gd name="connsiteX21" fmla="*/ 919981 w 2648663"/>
              <a:gd name="connsiteY21" fmla="*/ 3103868 h 4097943"/>
              <a:gd name="connsiteX22" fmla="*/ 620624 w 2648663"/>
              <a:gd name="connsiteY22" fmla="*/ 2967796 h 4097943"/>
              <a:gd name="connsiteX23" fmla="*/ 280446 w 2648663"/>
              <a:gd name="connsiteY23" fmla="*/ 2750082 h 4097943"/>
              <a:gd name="connsiteX24" fmla="*/ 16767 w 2648663"/>
              <a:gd name="connsiteY24" fmla="*/ 2481857 h 4097943"/>
              <a:gd name="connsiteX25" fmla="*/ 26851 w 2648663"/>
              <a:gd name="connsiteY25" fmla="*/ 2773585 h 4097943"/>
              <a:gd name="connsiteX0" fmla="*/ 15307 w 2657489"/>
              <a:gd name="connsiteY0" fmla="*/ 2851930 h 4097465"/>
              <a:gd name="connsiteX1" fmla="*/ 18963 w 2657489"/>
              <a:gd name="connsiteY1" fmla="*/ 3898651 h 4097465"/>
              <a:gd name="connsiteX2" fmla="*/ 370582 w 2657489"/>
              <a:gd name="connsiteY2" fmla="*/ 4056575 h 4097465"/>
              <a:gd name="connsiteX3" fmla="*/ 2288522 w 2657489"/>
              <a:gd name="connsiteY3" fmla="*/ 4056575 h 4097465"/>
              <a:gd name="connsiteX4" fmla="*/ 2589879 w 2657489"/>
              <a:gd name="connsiteY4" fmla="*/ 3594036 h 4097465"/>
              <a:gd name="connsiteX5" fmla="*/ 2604152 w 2657489"/>
              <a:gd name="connsiteY5" fmla="*/ 409241 h 4097465"/>
              <a:gd name="connsiteX6" fmla="*/ 1990165 w 2657489"/>
              <a:gd name="connsiteY6" fmla="*/ 69475 h 4097465"/>
              <a:gd name="connsiteX7" fmla="*/ 1500307 w 2657489"/>
              <a:gd name="connsiteY7" fmla="*/ 668189 h 4097465"/>
              <a:gd name="connsiteX8" fmla="*/ 1064879 w 2657489"/>
              <a:gd name="connsiteY8" fmla="*/ 940332 h 4097465"/>
              <a:gd name="connsiteX9" fmla="*/ 928807 w 2657489"/>
              <a:gd name="connsiteY9" fmla="*/ 1090011 h 4097465"/>
              <a:gd name="connsiteX10" fmla="*/ 928807 w 2657489"/>
              <a:gd name="connsiteY10" fmla="*/ 1375761 h 4097465"/>
              <a:gd name="connsiteX11" fmla="*/ 1051272 w 2657489"/>
              <a:gd name="connsiteY11" fmla="*/ 1647904 h 4097465"/>
              <a:gd name="connsiteX12" fmla="*/ 1241772 w 2657489"/>
              <a:gd name="connsiteY12" fmla="*/ 1879225 h 4097465"/>
              <a:gd name="connsiteX13" fmla="*/ 1377843 w 2657489"/>
              <a:gd name="connsiteY13" fmla="*/ 2028904 h 4097465"/>
              <a:gd name="connsiteX14" fmla="*/ 1513915 w 2657489"/>
              <a:gd name="connsiteY14" fmla="*/ 2164975 h 4097465"/>
              <a:gd name="connsiteX15" fmla="*/ 1636379 w 2657489"/>
              <a:gd name="connsiteY15" fmla="*/ 2287439 h 4097465"/>
              <a:gd name="connsiteX16" fmla="*/ 1786057 w 2657489"/>
              <a:gd name="connsiteY16" fmla="*/ 2423511 h 4097465"/>
              <a:gd name="connsiteX17" fmla="*/ 1962950 w 2657489"/>
              <a:gd name="connsiteY17" fmla="*/ 2545975 h 4097465"/>
              <a:gd name="connsiteX18" fmla="*/ 1867700 w 2657489"/>
              <a:gd name="connsiteY18" fmla="*/ 2804511 h 4097465"/>
              <a:gd name="connsiteX19" fmla="*/ 1636379 w 2657489"/>
              <a:gd name="connsiteY19" fmla="*/ 3022225 h 4097465"/>
              <a:gd name="connsiteX20" fmla="*/ 1350629 w 2657489"/>
              <a:gd name="connsiteY20" fmla="*/ 3131082 h 4097465"/>
              <a:gd name="connsiteX21" fmla="*/ 928807 w 2657489"/>
              <a:gd name="connsiteY21" fmla="*/ 3103868 h 4097465"/>
              <a:gd name="connsiteX22" fmla="*/ 629450 w 2657489"/>
              <a:gd name="connsiteY22" fmla="*/ 2967796 h 4097465"/>
              <a:gd name="connsiteX23" fmla="*/ 289272 w 2657489"/>
              <a:gd name="connsiteY23" fmla="*/ 2750082 h 4097465"/>
              <a:gd name="connsiteX24" fmla="*/ 25593 w 2657489"/>
              <a:gd name="connsiteY24" fmla="*/ 2481857 h 4097465"/>
              <a:gd name="connsiteX25" fmla="*/ 35677 w 2657489"/>
              <a:gd name="connsiteY25" fmla="*/ 2773585 h 4097465"/>
              <a:gd name="connsiteX0" fmla="*/ 40276 w 2682458"/>
              <a:gd name="connsiteY0" fmla="*/ 2851930 h 4097465"/>
              <a:gd name="connsiteX1" fmla="*/ 43932 w 2682458"/>
              <a:gd name="connsiteY1" fmla="*/ 3898651 h 4097465"/>
              <a:gd name="connsiteX2" fmla="*/ 395551 w 2682458"/>
              <a:gd name="connsiteY2" fmla="*/ 4056575 h 4097465"/>
              <a:gd name="connsiteX3" fmla="*/ 2313491 w 2682458"/>
              <a:gd name="connsiteY3" fmla="*/ 4056575 h 4097465"/>
              <a:gd name="connsiteX4" fmla="*/ 2614848 w 2682458"/>
              <a:gd name="connsiteY4" fmla="*/ 3594036 h 4097465"/>
              <a:gd name="connsiteX5" fmla="*/ 2629121 w 2682458"/>
              <a:gd name="connsiteY5" fmla="*/ 409241 h 4097465"/>
              <a:gd name="connsiteX6" fmla="*/ 2015134 w 2682458"/>
              <a:gd name="connsiteY6" fmla="*/ 69475 h 4097465"/>
              <a:gd name="connsiteX7" fmla="*/ 1525276 w 2682458"/>
              <a:gd name="connsiteY7" fmla="*/ 668189 h 4097465"/>
              <a:gd name="connsiteX8" fmla="*/ 1089848 w 2682458"/>
              <a:gd name="connsiteY8" fmla="*/ 940332 h 4097465"/>
              <a:gd name="connsiteX9" fmla="*/ 953776 w 2682458"/>
              <a:gd name="connsiteY9" fmla="*/ 1090011 h 4097465"/>
              <a:gd name="connsiteX10" fmla="*/ 953776 w 2682458"/>
              <a:gd name="connsiteY10" fmla="*/ 1375761 h 4097465"/>
              <a:gd name="connsiteX11" fmla="*/ 1076241 w 2682458"/>
              <a:gd name="connsiteY11" fmla="*/ 1647904 h 4097465"/>
              <a:gd name="connsiteX12" fmla="*/ 1266741 w 2682458"/>
              <a:gd name="connsiteY12" fmla="*/ 1879225 h 4097465"/>
              <a:gd name="connsiteX13" fmla="*/ 1402812 w 2682458"/>
              <a:gd name="connsiteY13" fmla="*/ 2028904 h 4097465"/>
              <a:gd name="connsiteX14" fmla="*/ 1538884 w 2682458"/>
              <a:gd name="connsiteY14" fmla="*/ 2164975 h 4097465"/>
              <a:gd name="connsiteX15" fmla="*/ 1661348 w 2682458"/>
              <a:gd name="connsiteY15" fmla="*/ 2287439 h 4097465"/>
              <a:gd name="connsiteX16" fmla="*/ 1811026 w 2682458"/>
              <a:gd name="connsiteY16" fmla="*/ 2423511 h 4097465"/>
              <a:gd name="connsiteX17" fmla="*/ 1987919 w 2682458"/>
              <a:gd name="connsiteY17" fmla="*/ 2545975 h 4097465"/>
              <a:gd name="connsiteX18" fmla="*/ 1892669 w 2682458"/>
              <a:gd name="connsiteY18" fmla="*/ 2804511 h 4097465"/>
              <a:gd name="connsiteX19" fmla="*/ 1661348 w 2682458"/>
              <a:gd name="connsiteY19" fmla="*/ 3022225 h 4097465"/>
              <a:gd name="connsiteX20" fmla="*/ 1375598 w 2682458"/>
              <a:gd name="connsiteY20" fmla="*/ 3131082 h 4097465"/>
              <a:gd name="connsiteX21" fmla="*/ 953776 w 2682458"/>
              <a:gd name="connsiteY21" fmla="*/ 3103868 h 4097465"/>
              <a:gd name="connsiteX22" fmla="*/ 654419 w 2682458"/>
              <a:gd name="connsiteY22" fmla="*/ 2967796 h 4097465"/>
              <a:gd name="connsiteX23" fmla="*/ 314241 w 2682458"/>
              <a:gd name="connsiteY23" fmla="*/ 2750082 h 4097465"/>
              <a:gd name="connsiteX24" fmla="*/ 11274 w 2682458"/>
              <a:gd name="connsiteY24" fmla="*/ 2424264 h 4097465"/>
              <a:gd name="connsiteX25" fmla="*/ 60646 w 2682458"/>
              <a:gd name="connsiteY25" fmla="*/ 2773585 h 40974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2682458" h="4097465">
                <a:moveTo>
                  <a:pt x="40276" y="2851930"/>
                </a:moveTo>
                <a:cubicBezTo>
                  <a:pt x="46794" y="3258906"/>
                  <a:pt x="149" y="3809005"/>
                  <a:pt x="43932" y="3898651"/>
                </a:cubicBezTo>
                <a:cubicBezTo>
                  <a:pt x="87715" y="3988297"/>
                  <a:pt x="17291" y="4030254"/>
                  <a:pt x="395551" y="4056575"/>
                </a:cubicBezTo>
                <a:cubicBezTo>
                  <a:pt x="773811" y="4082896"/>
                  <a:pt x="1943608" y="4133665"/>
                  <a:pt x="2313491" y="4056575"/>
                </a:cubicBezTo>
                <a:cubicBezTo>
                  <a:pt x="2683374" y="3979485"/>
                  <a:pt x="2562243" y="4201925"/>
                  <a:pt x="2614848" y="3594036"/>
                </a:cubicBezTo>
                <a:cubicBezTo>
                  <a:pt x="2667453" y="2986147"/>
                  <a:pt x="2729073" y="996668"/>
                  <a:pt x="2629121" y="409241"/>
                </a:cubicBezTo>
                <a:cubicBezTo>
                  <a:pt x="2529169" y="-178186"/>
                  <a:pt x="2199108" y="26317"/>
                  <a:pt x="2015134" y="69475"/>
                </a:cubicBezTo>
                <a:cubicBezTo>
                  <a:pt x="1831160" y="112633"/>
                  <a:pt x="1679490" y="523046"/>
                  <a:pt x="1525276" y="668189"/>
                </a:cubicBezTo>
                <a:cubicBezTo>
                  <a:pt x="1371062" y="813332"/>
                  <a:pt x="1185098" y="870028"/>
                  <a:pt x="1089848" y="940332"/>
                </a:cubicBezTo>
                <a:cubicBezTo>
                  <a:pt x="994598" y="1010636"/>
                  <a:pt x="976455" y="1017440"/>
                  <a:pt x="953776" y="1090011"/>
                </a:cubicBezTo>
                <a:cubicBezTo>
                  <a:pt x="931097" y="1162582"/>
                  <a:pt x="933365" y="1282779"/>
                  <a:pt x="953776" y="1375761"/>
                </a:cubicBezTo>
                <a:cubicBezTo>
                  <a:pt x="974187" y="1468743"/>
                  <a:pt x="1024080" y="1563993"/>
                  <a:pt x="1076241" y="1647904"/>
                </a:cubicBezTo>
                <a:cubicBezTo>
                  <a:pt x="1128402" y="1731815"/>
                  <a:pt x="1212313" y="1815725"/>
                  <a:pt x="1266741" y="1879225"/>
                </a:cubicBezTo>
                <a:cubicBezTo>
                  <a:pt x="1321170" y="1942725"/>
                  <a:pt x="1357455" y="1981279"/>
                  <a:pt x="1402812" y="2028904"/>
                </a:cubicBezTo>
                <a:cubicBezTo>
                  <a:pt x="1448169" y="2076529"/>
                  <a:pt x="1538884" y="2164975"/>
                  <a:pt x="1538884" y="2164975"/>
                </a:cubicBezTo>
                <a:cubicBezTo>
                  <a:pt x="1581973" y="2208064"/>
                  <a:pt x="1615991" y="2244350"/>
                  <a:pt x="1661348" y="2287439"/>
                </a:cubicBezTo>
                <a:cubicBezTo>
                  <a:pt x="1706705" y="2330528"/>
                  <a:pt x="1756598" y="2380422"/>
                  <a:pt x="1811026" y="2423511"/>
                </a:cubicBezTo>
                <a:cubicBezTo>
                  <a:pt x="1865455" y="2466600"/>
                  <a:pt x="1974312" y="2482475"/>
                  <a:pt x="1987919" y="2545975"/>
                </a:cubicBezTo>
                <a:cubicBezTo>
                  <a:pt x="2001526" y="2609475"/>
                  <a:pt x="1947097" y="2725136"/>
                  <a:pt x="1892669" y="2804511"/>
                </a:cubicBezTo>
                <a:cubicBezTo>
                  <a:pt x="1838241" y="2883886"/>
                  <a:pt x="1747526" y="2967797"/>
                  <a:pt x="1661348" y="3022225"/>
                </a:cubicBezTo>
                <a:cubicBezTo>
                  <a:pt x="1575170" y="3076653"/>
                  <a:pt x="1493527" y="3117475"/>
                  <a:pt x="1375598" y="3131082"/>
                </a:cubicBezTo>
                <a:cubicBezTo>
                  <a:pt x="1257669" y="3144689"/>
                  <a:pt x="1073972" y="3131082"/>
                  <a:pt x="953776" y="3103868"/>
                </a:cubicBezTo>
                <a:cubicBezTo>
                  <a:pt x="833580" y="3076654"/>
                  <a:pt x="761008" y="3026760"/>
                  <a:pt x="654419" y="2967796"/>
                </a:cubicBezTo>
                <a:cubicBezTo>
                  <a:pt x="547830" y="2908832"/>
                  <a:pt x="421432" y="2840671"/>
                  <a:pt x="314241" y="2750082"/>
                </a:cubicBezTo>
                <a:cubicBezTo>
                  <a:pt x="207050" y="2659493"/>
                  <a:pt x="53540" y="2420347"/>
                  <a:pt x="11274" y="2424264"/>
                </a:cubicBezTo>
                <a:cubicBezTo>
                  <a:pt x="-30992" y="2428181"/>
                  <a:pt x="59076" y="2676378"/>
                  <a:pt x="60646" y="2773585"/>
                </a:cubicBezTo>
              </a:path>
            </a:pathLst>
          </a:cu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1" name="Rectangle: Rounded Corners 140">
            <a:extLst>
              <a:ext uri="{FF2B5EF4-FFF2-40B4-BE49-F238E27FC236}">
                <a16:creationId xmlns:a16="http://schemas.microsoft.com/office/drawing/2014/main" id="{5B1DBB01-3837-4B23-B218-D8E8466EE318}"/>
              </a:ext>
            </a:extLst>
          </xdr:cNvPr>
          <xdr:cNvSpPr/>
        </xdr:nvSpPr>
        <xdr:spPr>
          <a:xfrm rot="5400000">
            <a:off x="6558399" y="10950908"/>
            <a:ext cx="420923" cy="69421"/>
          </a:xfrm>
          <a:prstGeom prst="roundRect">
            <a:avLst>
              <a:gd name="adj" fmla="val 10094"/>
            </a:avLst>
          </a:prstGeom>
          <a:solidFill>
            <a:schemeClr val="bg2">
              <a:lumMod val="7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13</xdr:col>
      <xdr:colOff>190608</xdr:colOff>
      <xdr:row>33</xdr:row>
      <xdr:rowOff>152707</xdr:rowOff>
    </xdr:from>
    <xdr:to>
      <xdr:col>15</xdr:col>
      <xdr:colOff>33111</xdr:colOff>
      <xdr:row>37</xdr:row>
      <xdr:rowOff>8234</xdr:rowOff>
    </xdr:to>
    <xdr:grpSp>
      <xdr:nvGrpSpPr>
        <xdr:cNvPr id="213" name="Group 212">
          <a:extLst>
            <a:ext uri="{FF2B5EF4-FFF2-40B4-BE49-F238E27FC236}">
              <a16:creationId xmlns:a16="http://schemas.microsoft.com/office/drawing/2014/main" id="{F4E37EC3-FADE-D6A9-E4AC-3E740264BF10}"/>
            </a:ext>
          </a:extLst>
        </xdr:cNvPr>
        <xdr:cNvGrpSpPr/>
      </xdr:nvGrpSpPr>
      <xdr:grpSpPr>
        <a:xfrm>
          <a:off x="8286858" y="6439207"/>
          <a:ext cx="1067146" cy="617527"/>
          <a:chOff x="8021085" y="5780552"/>
          <a:chExt cx="1055754" cy="617527"/>
        </a:xfrm>
      </xdr:grpSpPr>
      <xdr:sp macro="" textlink="'PIVIOT TABLE'!$J$5">
        <xdr:nvSpPr>
          <xdr:cNvPr id="208" name="TextBox 207">
            <a:extLst>
              <a:ext uri="{FF2B5EF4-FFF2-40B4-BE49-F238E27FC236}">
                <a16:creationId xmlns:a16="http://schemas.microsoft.com/office/drawing/2014/main" id="{97673A19-F5B8-4653-9816-E830A3E8728E}"/>
              </a:ext>
            </a:extLst>
          </xdr:cNvPr>
          <xdr:cNvSpPr txBox="1"/>
        </xdr:nvSpPr>
        <xdr:spPr>
          <a:xfrm>
            <a:off x="8021085" y="5780552"/>
            <a:ext cx="904875" cy="617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CDEC34D-CC14-4E72-8DCB-4F8521B85F12}" type="TxLink">
              <a:rPr lang="en-US" sz="4400" b="1" i="0" u="none" strike="noStrike">
                <a:ln>
                  <a:solidFill>
                    <a:schemeClr val="bg2">
                      <a:lumMod val="75000"/>
                    </a:schemeClr>
                  </a:solidFill>
                </a:ln>
                <a:solidFill>
                  <a:schemeClr val="bg1"/>
                </a:solidFill>
                <a:latin typeface="Aptos Narrow"/>
                <a:ea typeface="+mn-ea"/>
                <a:cs typeface="+mn-cs"/>
              </a:rPr>
              <a:pPr marL="0" indent="0"/>
              <a:t>84</a:t>
            </a:fld>
            <a:endParaRPr lang="en-US" sz="4400" b="1" i="0" u="none" strike="noStrike">
              <a:ln>
                <a:solidFill>
                  <a:schemeClr val="bg2">
                    <a:lumMod val="75000"/>
                  </a:schemeClr>
                </a:solidFill>
              </a:ln>
              <a:solidFill>
                <a:schemeClr val="bg1"/>
              </a:solidFill>
              <a:latin typeface="Aptos Narrow"/>
              <a:ea typeface="+mn-ea"/>
              <a:cs typeface="+mn-cs"/>
            </a:endParaRPr>
          </a:p>
        </xdr:txBody>
      </xdr:sp>
      <xdr:sp macro="" textlink="'PIVIOT TABLE'!X9">
        <xdr:nvSpPr>
          <xdr:cNvPr id="209" name="TextBox 208">
            <a:extLst>
              <a:ext uri="{FF2B5EF4-FFF2-40B4-BE49-F238E27FC236}">
                <a16:creationId xmlns:a16="http://schemas.microsoft.com/office/drawing/2014/main" id="{F4DDD8F5-0AA7-4F83-8171-CD44B2463B07}"/>
              </a:ext>
            </a:extLst>
          </xdr:cNvPr>
          <xdr:cNvSpPr txBox="1"/>
        </xdr:nvSpPr>
        <xdr:spPr>
          <a:xfrm>
            <a:off x="8560871" y="5811290"/>
            <a:ext cx="515968"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ln>
                  <a:noFill/>
                </a:ln>
                <a:solidFill>
                  <a:schemeClr val="bg1">
                    <a:lumMod val="95000"/>
                  </a:schemeClr>
                </a:solidFill>
                <a:latin typeface="Aptos Narrow"/>
              </a:rPr>
              <a:t>Days</a:t>
            </a:r>
            <a:endParaRPr lang="en-US" sz="1100" b="1">
              <a:ln>
                <a:noFill/>
              </a:ln>
              <a:solidFill>
                <a:schemeClr val="bg1">
                  <a:lumMod val="95000"/>
                </a:schemeClr>
              </a:solidFill>
            </a:endParaRPr>
          </a:p>
        </xdr:txBody>
      </xdr:sp>
    </xdr:grpSp>
    <xdr:clientData/>
  </xdr:twoCellAnchor>
  <xdr:twoCellAnchor>
    <xdr:from>
      <xdr:col>11</xdr:col>
      <xdr:colOff>498342</xdr:colOff>
      <xdr:row>36</xdr:row>
      <xdr:rowOff>103849</xdr:rowOff>
    </xdr:from>
    <xdr:to>
      <xdr:col>15</xdr:col>
      <xdr:colOff>15627</xdr:colOff>
      <xdr:row>40</xdr:row>
      <xdr:rowOff>21610</xdr:rowOff>
    </xdr:to>
    <xdr:grpSp>
      <xdr:nvGrpSpPr>
        <xdr:cNvPr id="212" name="Group 211">
          <a:extLst>
            <a:ext uri="{FF2B5EF4-FFF2-40B4-BE49-F238E27FC236}">
              <a16:creationId xmlns:a16="http://schemas.microsoft.com/office/drawing/2014/main" id="{106F7576-8C4D-086C-1125-7E40B4E20BEB}"/>
            </a:ext>
          </a:extLst>
        </xdr:cNvPr>
        <xdr:cNvGrpSpPr/>
      </xdr:nvGrpSpPr>
      <xdr:grpSpPr>
        <a:xfrm>
          <a:off x="7369949" y="6961849"/>
          <a:ext cx="1966571" cy="679761"/>
          <a:chOff x="7345567" y="6392073"/>
          <a:chExt cx="1949824" cy="679761"/>
        </a:xfrm>
      </xdr:grpSpPr>
      <xdr:sp macro="" textlink="'PIVIOT TABLE'!AF10">
        <xdr:nvSpPr>
          <xdr:cNvPr id="201" name="TextBox 200">
            <a:extLst>
              <a:ext uri="{FF2B5EF4-FFF2-40B4-BE49-F238E27FC236}">
                <a16:creationId xmlns:a16="http://schemas.microsoft.com/office/drawing/2014/main" id="{7CFC4123-CFAC-452E-A450-47D84B55F89F}"/>
              </a:ext>
            </a:extLst>
          </xdr:cNvPr>
          <xdr:cNvSpPr txBox="1"/>
        </xdr:nvSpPr>
        <xdr:spPr>
          <a:xfrm>
            <a:off x="8264014" y="6688829"/>
            <a:ext cx="895631"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chemeClr val="bg2">
                    <a:lumMod val="10000"/>
                  </a:schemeClr>
                </a:solidFill>
                <a:effectLst/>
              </a:rPr>
              <a:t>LATE</a:t>
            </a:r>
          </a:p>
        </xdr:txBody>
      </xdr:sp>
      <xdr:sp macro="" textlink="'PIVIOT TABLE'!AF10">
        <xdr:nvSpPr>
          <xdr:cNvPr id="202" name="TextBox 201">
            <a:extLst>
              <a:ext uri="{FF2B5EF4-FFF2-40B4-BE49-F238E27FC236}">
                <a16:creationId xmlns:a16="http://schemas.microsoft.com/office/drawing/2014/main" id="{D0DA233F-FCB3-4D9F-B7A3-BE1F664103B3}"/>
              </a:ext>
            </a:extLst>
          </xdr:cNvPr>
          <xdr:cNvSpPr txBox="1"/>
        </xdr:nvSpPr>
        <xdr:spPr>
          <a:xfrm>
            <a:off x="7345567" y="6392073"/>
            <a:ext cx="1949824"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u="none" strike="noStrike">
                <a:solidFill>
                  <a:schemeClr val="bg2">
                    <a:lumMod val="10000"/>
                  </a:schemeClr>
                </a:solidFill>
                <a:effectLst/>
                <a:latin typeface="Aptos Narrow"/>
              </a:rPr>
              <a:t>Days</a:t>
            </a:r>
            <a:r>
              <a:rPr lang="en-US" sz="2000" b="0" i="0" u="none" strike="noStrike" baseline="0">
                <a:solidFill>
                  <a:schemeClr val="bg2">
                    <a:lumMod val="10000"/>
                  </a:schemeClr>
                </a:solidFill>
                <a:effectLst/>
                <a:latin typeface="Aptos Narrow"/>
              </a:rPr>
              <a:t> attended</a:t>
            </a:r>
            <a:endParaRPr lang="en-US" sz="2000" b="0">
              <a:solidFill>
                <a:schemeClr val="bg2">
                  <a:lumMod val="10000"/>
                </a:schemeClr>
              </a:solidFill>
              <a:effectLst/>
            </a:endParaRPr>
          </a:p>
        </xdr:txBody>
      </xdr:sp>
    </xdr:grpSp>
    <xdr:clientData/>
  </xdr:twoCellAnchor>
  <xdr:twoCellAnchor>
    <xdr:from>
      <xdr:col>9</xdr:col>
      <xdr:colOff>525349</xdr:colOff>
      <xdr:row>23</xdr:row>
      <xdr:rowOff>174987</xdr:rowOff>
    </xdr:from>
    <xdr:to>
      <xdr:col>15</xdr:col>
      <xdr:colOff>286988</xdr:colOff>
      <xdr:row>35</xdr:row>
      <xdr:rowOff>92774</xdr:rowOff>
    </xdr:to>
    <xdr:graphicFrame macro="">
      <xdr:nvGraphicFramePr>
        <xdr:cNvPr id="211" name="Chart 210">
          <a:extLst>
            <a:ext uri="{FF2B5EF4-FFF2-40B4-BE49-F238E27FC236}">
              <a16:creationId xmlns:a16="http://schemas.microsoft.com/office/drawing/2014/main" id="{1FED01BF-595C-4D00-8C4C-790AF5D58B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269269</xdr:colOff>
      <xdr:row>17</xdr:row>
      <xdr:rowOff>50574</xdr:rowOff>
    </xdr:from>
    <xdr:to>
      <xdr:col>5</xdr:col>
      <xdr:colOff>444657</xdr:colOff>
      <xdr:row>21</xdr:row>
      <xdr:rowOff>101826</xdr:rowOff>
    </xdr:to>
    <xdr:grpSp>
      <xdr:nvGrpSpPr>
        <xdr:cNvPr id="188" name="Group 187">
          <a:hlinkClick xmlns:r="http://schemas.openxmlformats.org/officeDocument/2006/relationships" r:id="rId15"/>
          <a:extLst>
            <a:ext uri="{FF2B5EF4-FFF2-40B4-BE49-F238E27FC236}">
              <a16:creationId xmlns:a16="http://schemas.microsoft.com/office/drawing/2014/main" id="{2F728EE7-A320-DD0D-6F76-295003C88AC0}"/>
            </a:ext>
          </a:extLst>
        </xdr:cNvPr>
        <xdr:cNvGrpSpPr/>
      </xdr:nvGrpSpPr>
      <xdr:grpSpPr>
        <a:xfrm>
          <a:off x="2718555" y="3289074"/>
          <a:ext cx="787709" cy="813252"/>
          <a:chOff x="1126520" y="3357110"/>
          <a:chExt cx="787709" cy="813252"/>
        </a:xfrm>
      </xdr:grpSpPr>
      <xdr:sp macro="" textlink="">
        <xdr:nvSpPr>
          <xdr:cNvPr id="179" name="Freeform: Shape 178">
            <a:extLst>
              <a:ext uri="{FF2B5EF4-FFF2-40B4-BE49-F238E27FC236}">
                <a16:creationId xmlns:a16="http://schemas.microsoft.com/office/drawing/2014/main" id="{651E8296-9CA4-D6CD-9D4C-34506332D339}"/>
              </a:ext>
            </a:extLst>
          </xdr:cNvPr>
          <xdr:cNvSpPr/>
        </xdr:nvSpPr>
        <xdr:spPr>
          <a:xfrm>
            <a:off x="1126520" y="3357110"/>
            <a:ext cx="787709" cy="813252"/>
          </a:xfrm>
          <a:custGeom>
            <a:avLst/>
            <a:gdLst>
              <a:gd name="connsiteX0" fmla="*/ 728631 w 787709"/>
              <a:gd name="connsiteY0" fmla="*/ 735623 h 813252"/>
              <a:gd name="connsiteX1" fmla="*/ 531704 w 787709"/>
              <a:gd name="connsiteY1" fmla="*/ 560035 h 813252"/>
              <a:gd name="connsiteX2" fmla="*/ 728631 w 787709"/>
              <a:gd name="connsiteY2" fmla="*/ 384446 h 813252"/>
              <a:gd name="connsiteX3" fmla="*/ 728631 w 787709"/>
              <a:gd name="connsiteY3" fmla="*/ 735623 h 813252"/>
              <a:gd name="connsiteX4" fmla="*/ 90587 w 787709"/>
              <a:gd name="connsiteY4" fmla="*/ 757803 h 813252"/>
              <a:gd name="connsiteX5" fmla="*/ 285545 w 787709"/>
              <a:gd name="connsiteY5" fmla="*/ 584987 h 813252"/>
              <a:gd name="connsiteX6" fmla="*/ 299330 w 787709"/>
              <a:gd name="connsiteY6" fmla="*/ 572973 h 813252"/>
              <a:gd name="connsiteX7" fmla="*/ 489364 w 787709"/>
              <a:gd name="connsiteY7" fmla="*/ 572973 h 813252"/>
              <a:gd name="connsiteX8" fmla="*/ 503149 w 787709"/>
              <a:gd name="connsiteY8" fmla="*/ 584987 h 813252"/>
              <a:gd name="connsiteX9" fmla="*/ 697123 w 787709"/>
              <a:gd name="connsiteY9" fmla="*/ 757803 h 813252"/>
              <a:gd name="connsiteX10" fmla="*/ 90587 w 787709"/>
              <a:gd name="connsiteY10" fmla="*/ 757803 h 813252"/>
              <a:gd name="connsiteX11" fmla="*/ 59078 w 787709"/>
              <a:gd name="connsiteY11" fmla="*/ 383522 h 813252"/>
              <a:gd name="connsiteX12" fmla="*/ 256005 w 787709"/>
              <a:gd name="connsiteY12" fmla="*/ 559111 h 813252"/>
              <a:gd name="connsiteX13" fmla="*/ 59078 w 787709"/>
              <a:gd name="connsiteY13" fmla="*/ 734699 h 813252"/>
              <a:gd name="connsiteX14" fmla="*/ 59078 w 787709"/>
              <a:gd name="connsiteY14" fmla="*/ 383522 h 813252"/>
              <a:gd name="connsiteX15" fmla="*/ 196927 w 787709"/>
              <a:gd name="connsiteY15" fmla="*/ 147864 h 813252"/>
              <a:gd name="connsiteX16" fmla="*/ 590782 w 787709"/>
              <a:gd name="connsiteY16" fmla="*/ 147864 h 813252"/>
              <a:gd name="connsiteX17" fmla="*/ 590782 w 787709"/>
              <a:gd name="connsiteY17" fmla="*/ 455606 h 813252"/>
              <a:gd name="connsiteX18" fmla="*/ 502165 w 787709"/>
              <a:gd name="connsiteY18" fmla="*/ 535083 h 813252"/>
              <a:gd name="connsiteX19" fmla="*/ 285545 w 787709"/>
              <a:gd name="connsiteY19" fmla="*/ 535083 h 813252"/>
              <a:gd name="connsiteX20" fmla="*/ 196927 w 787709"/>
              <a:gd name="connsiteY20" fmla="*/ 455606 h 813252"/>
              <a:gd name="connsiteX21" fmla="*/ 196927 w 787709"/>
              <a:gd name="connsiteY21" fmla="*/ 147864 h 813252"/>
              <a:gd name="connsiteX22" fmla="*/ 649860 w 787709"/>
              <a:gd name="connsiteY22" fmla="*/ 172816 h 813252"/>
              <a:gd name="connsiteX23" fmla="*/ 649860 w 787709"/>
              <a:gd name="connsiteY23" fmla="*/ 92415 h 813252"/>
              <a:gd name="connsiteX24" fmla="*/ 512011 w 787709"/>
              <a:gd name="connsiteY24" fmla="*/ 92415 h 813252"/>
              <a:gd name="connsiteX25" fmla="*/ 393855 w 787709"/>
              <a:gd name="connsiteY25" fmla="*/ 0 h 813252"/>
              <a:gd name="connsiteX26" fmla="*/ 275698 w 787709"/>
              <a:gd name="connsiteY26" fmla="*/ 92415 h 813252"/>
              <a:gd name="connsiteX27" fmla="*/ 137849 w 787709"/>
              <a:gd name="connsiteY27" fmla="*/ 92415 h 813252"/>
              <a:gd name="connsiteX28" fmla="*/ 137849 w 787709"/>
              <a:gd name="connsiteY28" fmla="*/ 173740 h 813252"/>
              <a:gd name="connsiteX29" fmla="*/ 0 w 787709"/>
              <a:gd name="connsiteY29" fmla="*/ 296652 h 813252"/>
              <a:gd name="connsiteX30" fmla="*/ 0 w 787709"/>
              <a:gd name="connsiteY30" fmla="*/ 813252 h 813252"/>
              <a:gd name="connsiteX31" fmla="*/ 787709 w 787709"/>
              <a:gd name="connsiteY31" fmla="*/ 813252 h 813252"/>
              <a:gd name="connsiteX32" fmla="*/ 787709 w 787709"/>
              <a:gd name="connsiteY32" fmla="*/ 296652 h 813252"/>
              <a:gd name="connsiteX33" fmla="*/ 649860 w 787709"/>
              <a:gd name="connsiteY33" fmla="*/ 172816 h 81325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Lst>
            <a:rect l="l" t="t" r="r" b="b"/>
            <a:pathLst>
              <a:path w="787709" h="813252">
                <a:moveTo>
                  <a:pt x="728631" y="735623"/>
                </a:moveTo>
                <a:lnTo>
                  <a:pt x="531704" y="560035"/>
                </a:lnTo>
                <a:lnTo>
                  <a:pt x="728631" y="384446"/>
                </a:lnTo>
                <a:lnTo>
                  <a:pt x="728631" y="735623"/>
                </a:lnTo>
                <a:close/>
                <a:moveTo>
                  <a:pt x="90587" y="757803"/>
                </a:moveTo>
                <a:lnTo>
                  <a:pt x="285545" y="584987"/>
                </a:lnTo>
                <a:lnTo>
                  <a:pt x="299330" y="572973"/>
                </a:lnTo>
                <a:cubicBezTo>
                  <a:pt x="352500" y="525841"/>
                  <a:pt x="436194" y="525841"/>
                  <a:pt x="489364" y="572973"/>
                </a:cubicBezTo>
                <a:lnTo>
                  <a:pt x="503149" y="584987"/>
                </a:lnTo>
                <a:lnTo>
                  <a:pt x="697123" y="757803"/>
                </a:lnTo>
                <a:lnTo>
                  <a:pt x="90587" y="757803"/>
                </a:lnTo>
                <a:close/>
                <a:moveTo>
                  <a:pt x="59078" y="383522"/>
                </a:moveTo>
                <a:lnTo>
                  <a:pt x="256005" y="559111"/>
                </a:lnTo>
                <a:lnTo>
                  <a:pt x="59078" y="734699"/>
                </a:lnTo>
                <a:lnTo>
                  <a:pt x="59078" y="383522"/>
                </a:lnTo>
                <a:close/>
                <a:moveTo>
                  <a:pt x="196927" y="147864"/>
                </a:moveTo>
                <a:lnTo>
                  <a:pt x="590782" y="147864"/>
                </a:lnTo>
                <a:lnTo>
                  <a:pt x="590782" y="455606"/>
                </a:lnTo>
                <a:lnTo>
                  <a:pt x="502165" y="535083"/>
                </a:lnTo>
                <a:cubicBezTo>
                  <a:pt x="438163" y="488875"/>
                  <a:pt x="349546" y="488875"/>
                  <a:pt x="285545" y="535083"/>
                </a:cubicBezTo>
                <a:lnTo>
                  <a:pt x="196927" y="455606"/>
                </a:lnTo>
                <a:lnTo>
                  <a:pt x="196927" y="147864"/>
                </a:lnTo>
                <a:close/>
                <a:moveTo>
                  <a:pt x="649860" y="172816"/>
                </a:moveTo>
                <a:lnTo>
                  <a:pt x="649860" y="92415"/>
                </a:lnTo>
                <a:lnTo>
                  <a:pt x="512011" y="92415"/>
                </a:lnTo>
                <a:lnTo>
                  <a:pt x="393855" y="0"/>
                </a:lnTo>
                <a:lnTo>
                  <a:pt x="275698" y="92415"/>
                </a:lnTo>
                <a:lnTo>
                  <a:pt x="137849" y="92415"/>
                </a:lnTo>
                <a:lnTo>
                  <a:pt x="137849" y="173740"/>
                </a:lnTo>
                <a:lnTo>
                  <a:pt x="0" y="296652"/>
                </a:lnTo>
                <a:lnTo>
                  <a:pt x="0" y="813252"/>
                </a:lnTo>
                <a:lnTo>
                  <a:pt x="787709" y="813252"/>
                </a:lnTo>
                <a:lnTo>
                  <a:pt x="787709" y="296652"/>
                </a:lnTo>
                <a:lnTo>
                  <a:pt x="649860" y="172816"/>
                </a:lnTo>
                <a:close/>
              </a:path>
            </a:pathLst>
          </a:custGeom>
          <a:solidFill>
            <a:schemeClr val="accent2">
              <a:lumMod val="60000"/>
              <a:lumOff val="40000"/>
            </a:schemeClr>
          </a:solidFill>
          <a:ln w="9823" cap="flat">
            <a:noFill/>
            <a:prstDash val="solid"/>
            <a:miter/>
          </a:ln>
        </xdr:spPr>
        <xdr:txBody>
          <a:bodyPr rtlCol="0" anchor="ctr"/>
          <a:lstStyle/>
          <a:p>
            <a:endParaRPr lang="en-US"/>
          </a:p>
        </xdr:txBody>
      </xdr:sp>
      <xdr:sp macro="" textlink="">
        <xdr:nvSpPr>
          <xdr:cNvPr id="180" name="Freeform: Shape 179">
            <a:extLst>
              <a:ext uri="{FF2B5EF4-FFF2-40B4-BE49-F238E27FC236}">
                <a16:creationId xmlns:a16="http://schemas.microsoft.com/office/drawing/2014/main" id="{41850C59-3017-27F3-CF15-2324328DFB2D}"/>
              </a:ext>
            </a:extLst>
          </xdr:cNvPr>
          <xdr:cNvSpPr/>
        </xdr:nvSpPr>
        <xdr:spPr>
          <a:xfrm>
            <a:off x="1393344" y="3558574"/>
            <a:ext cx="256018" cy="242127"/>
          </a:xfrm>
          <a:custGeom>
            <a:avLst/>
            <a:gdLst>
              <a:gd name="connsiteX0" fmla="*/ 127031 w 256018"/>
              <a:gd name="connsiteY0" fmla="*/ 152485 h 242127"/>
              <a:gd name="connsiteX1" fmla="*/ 95522 w 256018"/>
              <a:gd name="connsiteY1" fmla="*/ 122912 h 242127"/>
              <a:gd name="connsiteX2" fmla="*/ 127031 w 256018"/>
              <a:gd name="connsiteY2" fmla="*/ 93339 h 242127"/>
              <a:gd name="connsiteX3" fmla="*/ 158539 w 256018"/>
              <a:gd name="connsiteY3" fmla="*/ 122912 h 242127"/>
              <a:gd name="connsiteX4" fmla="*/ 127031 w 256018"/>
              <a:gd name="connsiteY4" fmla="*/ 152485 h 242127"/>
              <a:gd name="connsiteX5" fmla="*/ 127031 w 256018"/>
              <a:gd name="connsiteY5" fmla="*/ 242127 h 242127"/>
              <a:gd name="connsiteX6" fmla="*/ 191032 w 256018"/>
              <a:gd name="connsiteY6" fmla="*/ 227341 h 242127"/>
              <a:gd name="connsiteX7" fmla="*/ 197925 w 256018"/>
              <a:gd name="connsiteY7" fmla="*/ 206085 h 242127"/>
              <a:gd name="connsiteX8" fmla="*/ 175278 w 256018"/>
              <a:gd name="connsiteY8" fmla="*/ 199616 h 242127"/>
              <a:gd name="connsiteX9" fmla="*/ 127031 w 256018"/>
              <a:gd name="connsiteY9" fmla="*/ 210706 h 242127"/>
              <a:gd name="connsiteX10" fmla="*/ 32506 w 256018"/>
              <a:gd name="connsiteY10" fmla="*/ 121064 h 242127"/>
              <a:gd name="connsiteX11" fmla="*/ 128015 w 256018"/>
              <a:gd name="connsiteY11" fmla="*/ 31421 h 242127"/>
              <a:gd name="connsiteX12" fmla="*/ 223525 w 256018"/>
              <a:gd name="connsiteY12" fmla="*/ 121064 h 242127"/>
              <a:gd name="connsiteX13" fmla="*/ 223525 w 256018"/>
              <a:gd name="connsiteY13" fmla="*/ 150636 h 242127"/>
              <a:gd name="connsiteX14" fmla="*/ 192017 w 256018"/>
              <a:gd name="connsiteY14" fmla="*/ 121064 h 242127"/>
              <a:gd name="connsiteX15" fmla="*/ 139831 w 256018"/>
              <a:gd name="connsiteY15" fmla="*/ 60994 h 242127"/>
              <a:gd name="connsiteX16" fmla="*/ 67952 w 256018"/>
              <a:gd name="connsiteY16" fmla="*/ 97960 h 242127"/>
              <a:gd name="connsiteX17" fmla="*/ 94538 w 256018"/>
              <a:gd name="connsiteY17" fmla="*/ 170968 h 242127"/>
              <a:gd name="connsiteX18" fmla="*/ 176262 w 256018"/>
              <a:gd name="connsiteY18" fmla="*/ 158954 h 242127"/>
              <a:gd name="connsiteX19" fmla="*/ 224510 w 256018"/>
              <a:gd name="connsiteY19" fmla="*/ 179285 h 242127"/>
              <a:gd name="connsiteX20" fmla="*/ 256018 w 256018"/>
              <a:gd name="connsiteY20" fmla="*/ 149712 h 242127"/>
              <a:gd name="connsiteX21" fmla="*/ 256018 w 256018"/>
              <a:gd name="connsiteY21" fmla="*/ 120140 h 242127"/>
              <a:gd name="connsiteX22" fmla="*/ 128015 w 256018"/>
              <a:gd name="connsiteY22" fmla="*/ 0 h 242127"/>
              <a:gd name="connsiteX23" fmla="*/ 13 w 256018"/>
              <a:gd name="connsiteY23" fmla="*/ 120140 h 242127"/>
              <a:gd name="connsiteX24" fmla="*/ 127031 w 256018"/>
              <a:gd name="connsiteY24" fmla="*/ 242127 h 2421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Lst>
            <a:rect l="l" t="t" r="r" b="b"/>
            <a:pathLst>
              <a:path w="256018" h="242127">
                <a:moveTo>
                  <a:pt x="127031" y="152485"/>
                </a:moveTo>
                <a:cubicBezTo>
                  <a:pt x="109307" y="152485"/>
                  <a:pt x="95522" y="138623"/>
                  <a:pt x="95522" y="122912"/>
                </a:cubicBezTo>
                <a:cubicBezTo>
                  <a:pt x="95522" y="106277"/>
                  <a:pt x="110292" y="93339"/>
                  <a:pt x="127031" y="93339"/>
                </a:cubicBezTo>
                <a:cubicBezTo>
                  <a:pt x="144754" y="93339"/>
                  <a:pt x="158539" y="106277"/>
                  <a:pt x="158539" y="122912"/>
                </a:cubicBezTo>
                <a:cubicBezTo>
                  <a:pt x="158539" y="139547"/>
                  <a:pt x="144754" y="152485"/>
                  <a:pt x="127031" y="152485"/>
                </a:cubicBezTo>
                <a:close/>
                <a:moveTo>
                  <a:pt x="127031" y="242127"/>
                </a:moveTo>
                <a:cubicBezTo>
                  <a:pt x="149677" y="242127"/>
                  <a:pt x="171339" y="236582"/>
                  <a:pt x="191032" y="227341"/>
                </a:cubicBezTo>
                <a:cubicBezTo>
                  <a:pt x="198909" y="222720"/>
                  <a:pt x="201863" y="213479"/>
                  <a:pt x="197925" y="206085"/>
                </a:cubicBezTo>
                <a:cubicBezTo>
                  <a:pt x="193001" y="198692"/>
                  <a:pt x="183155" y="195920"/>
                  <a:pt x="175278" y="199616"/>
                </a:cubicBezTo>
                <a:cubicBezTo>
                  <a:pt x="160508" y="207010"/>
                  <a:pt x="143769" y="210706"/>
                  <a:pt x="127031" y="210706"/>
                </a:cubicBezTo>
                <a:cubicBezTo>
                  <a:pt x="74845" y="210706"/>
                  <a:pt x="31521" y="170044"/>
                  <a:pt x="32506" y="121064"/>
                </a:cubicBezTo>
                <a:cubicBezTo>
                  <a:pt x="32506" y="72084"/>
                  <a:pt x="75830" y="31421"/>
                  <a:pt x="128015" y="31421"/>
                </a:cubicBezTo>
                <a:cubicBezTo>
                  <a:pt x="180201" y="31421"/>
                  <a:pt x="223525" y="71160"/>
                  <a:pt x="223525" y="121064"/>
                </a:cubicBezTo>
                <a:lnTo>
                  <a:pt x="223525" y="150636"/>
                </a:lnTo>
                <a:cubicBezTo>
                  <a:pt x="205802" y="150636"/>
                  <a:pt x="192017" y="137698"/>
                  <a:pt x="192017" y="121064"/>
                </a:cubicBezTo>
                <a:cubicBezTo>
                  <a:pt x="192017" y="91491"/>
                  <a:pt x="170355" y="66539"/>
                  <a:pt x="139831" y="60994"/>
                </a:cubicBezTo>
                <a:cubicBezTo>
                  <a:pt x="109307" y="55449"/>
                  <a:pt x="78783" y="71160"/>
                  <a:pt x="67952" y="97960"/>
                </a:cubicBezTo>
                <a:cubicBezTo>
                  <a:pt x="57121" y="124760"/>
                  <a:pt x="67952" y="156181"/>
                  <a:pt x="94538" y="170968"/>
                </a:cubicBezTo>
                <a:cubicBezTo>
                  <a:pt x="121123" y="185754"/>
                  <a:pt x="155585" y="181133"/>
                  <a:pt x="176262" y="158954"/>
                </a:cubicBezTo>
                <a:cubicBezTo>
                  <a:pt x="188078" y="171892"/>
                  <a:pt x="205802" y="179285"/>
                  <a:pt x="224510" y="179285"/>
                </a:cubicBezTo>
                <a:cubicBezTo>
                  <a:pt x="242233" y="179285"/>
                  <a:pt x="256018" y="166347"/>
                  <a:pt x="256018" y="149712"/>
                </a:cubicBezTo>
                <a:lnTo>
                  <a:pt x="256018" y="120140"/>
                </a:lnTo>
                <a:cubicBezTo>
                  <a:pt x="256018" y="53601"/>
                  <a:pt x="198909" y="0"/>
                  <a:pt x="128015" y="0"/>
                </a:cubicBezTo>
                <a:cubicBezTo>
                  <a:pt x="57121" y="0"/>
                  <a:pt x="13" y="53601"/>
                  <a:pt x="13" y="120140"/>
                </a:cubicBezTo>
                <a:cubicBezTo>
                  <a:pt x="-972" y="187602"/>
                  <a:pt x="56137" y="241203"/>
                  <a:pt x="127031" y="242127"/>
                </a:cubicBezTo>
                <a:close/>
              </a:path>
            </a:pathLst>
          </a:custGeom>
          <a:solidFill>
            <a:schemeClr val="accent2">
              <a:lumMod val="60000"/>
              <a:lumOff val="40000"/>
            </a:schemeClr>
          </a:solidFill>
          <a:ln w="9823" cap="flat">
            <a:noFill/>
            <a:prstDash val="solid"/>
            <a:miter/>
          </a:ln>
        </xdr:spPr>
        <xdr:txBody>
          <a:bodyPr rtlCol="0" anchor="ctr"/>
          <a:lstStyle/>
          <a:p>
            <a:endParaRPr lang="en-US"/>
          </a:p>
        </xdr:txBody>
      </xdr:sp>
    </xdr:grpSp>
    <xdr:clientData/>
  </xdr:twoCellAnchor>
  <xdr:twoCellAnchor>
    <xdr:from>
      <xdr:col>39</xdr:col>
      <xdr:colOff>521793</xdr:colOff>
      <xdr:row>11</xdr:row>
      <xdr:rowOff>23968</xdr:rowOff>
    </xdr:from>
    <xdr:to>
      <xdr:col>42</xdr:col>
      <xdr:colOff>61804</xdr:colOff>
      <xdr:row>15</xdr:row>
      <xdr:rowOff>157319</xdr:rowOff>
    </xdr:to>
    <xdr:grpSp>
      <xdr:nvGrpSpPr>
        <xdr:cNvPr id="57" name="Group 56">
          <a:extLst>
            <a:ext uri="{FF2B5EF4-FFF2-40B4-BE49-F238E27FC236}">
              <a16:creationId xmlns:a16="http://schemas.microsoft.com/office/drawing/2014/main" id="{B91FCB20-1C01-4D91-8675-D01B4A30B0F3}"/>
            </a:ext>
          </a:extLst>
        </xdr:cNvPr>
        <xdr:cNvGrpSpPr/>
      </xdr:nvGrpSpPr>
      <xdr:grpSpPr>
        <a:xfrm>
          <a:off x="24538400" y="2119468"/>
          <a:ext cx="1376975" cy="895351"/>
          <a:chOff x="3763872" y="190500"/>
          <a:chExt cx="1370103" cy="895351"/>
        </a:xfrm>
      </xdr:grpSpPr>
      <xdr:sp macro="" textlink="'PIVIOT TABLE'!AU20">
        <xdr:nvSpPr>
          <xdr:cNvPr id="58" name="TextBox 57">
            <a:extLst>
              <a:ext uri="{FF2B5EF4-FFF2-40B4-BE49-F238E27FC236}">
                <a16:creationId xmlns:a16="http://schemas.microsoft.com/office/drawing/2014/main" id="{D34349E9-CAB7-7DA2-1C33-28A185717528}"/>
              </a:ext>
            </a:extLst>
          </xdr:cNvPr>
          <xdr:cNvSpPr txBox="1"/>
        </xdr:nvSpPr>
        <xdr:spPr>
          <a:xfrm>
            <a:off x="3763872" y="1905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26349CD-2B30-4A81-96B7-76F8504425A3}" type="TxLink">
              <a:rPr lang="en-US" sz="1100" b="0" i="0" u="none" strike="noStrike">
                <a:solidFill>
                  <a:srgbClr val="000000"/>
                </a:solidFill>
                <a:latin typeface="Aptos Narrow"/>
              </a:rPr>
              <a:pPr algn="ctr"/>
              <a:t>Salary</a:t>
            </a:fld>
            <a:endParaRPr lang="en-US" sz="1100" b="1"/>
          </a:p>
        </xdr:txBody>
      </xdr:sp>
      <xdr:sp macro="" textlink="'PIVIOT TABLE'!AV20">
        <xdr:nvSpPr>
          <xdr:cNvPr id="59" name="TextBox 58">
            <a:extLst>
              <a:ext uri="{FF2B5EF4-FFF2-40B4-BE49-F238E27FC236}">
                <a16:creationId xmlns:a16="http://schemas.microsoft.com/office/drawing/2014/main" id="{C1534FBD-2732-83C3-6B31-4C90383501F7}"/>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2CA852-8AF7-4B81-95AD-92A773F7383E}" type="TxLink">
              <a:rPr lang="en-US" sz="1100" b="0" i="0" u="none" strike="noStrike">
                <a:solidFill>
                  <a:srgbClr val="000000"/>
                </a:solidFill>
                <a:latin typeface="Aptos Narrow"/>
              </a:rPr>
              <a:pPr algn="ctr"/>
              <a:t> $44,067 </a:t>
            </a:fld>
            <a:endParaRPr lang="en-US" sz="1100"/>
          </a:p>
        </xdr:txBody>
      </xdr:sp>
    </xdr:grpSp>
    <xdr:clientData/>
  </xdr:twoCellAnchor>
  <xdr:twoCellAnchor>
    <xdr:from>
      <xdr:col>15</xdr:col>
      <xdr:colOff>144585</xdr:colOff>
      <xdr:row>32</xdr:row>
      <xdr:rowOff>159474</xdr:rowOff>
    </xdr:from>
    <xdr:to>
      <xdr:col>16</xdr:col>
      <xdr:colOff>53961</xdr:colOff>
      <xdr:row>34</xdr:row>
      <xdr:rowOff>62890</xdr:rowOff>
    </xdr:to>
    <xdr:sp macro="" textlink="'PIVIOT TABLE'!X9">
      <xdr:nvSpPr>
        <xdr:cNvPr id="31" name="TextBox 30">
          <a:extLst>
            <a:ext uri="{FF2B5EF4-FFF2-40B4-BE49-F238E27FC236}">
              <a16:creationId xmlns:a16="http://schemas.microsoft.com/office/drawing/2014/main" id="{2A107901-AAFB-8EE8-1926-880B7FFA7078}"/>
            </a:ext>
          </a:extLst>
        </xdr:cNvPr>
        <xdr:cNvSpPr txBox="1"/>
      </xdr:nvSpPr>
      <xdr:spPr>
        <a:xfrm>
          <a:off x="9470802" y="6255474"/>
          <a:ext cx="522289"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ln>
                <a:noFill/>
              </a:ln>
              <a:solidFill>
                <a:schemeClr val="bg1">
                  <a:lumMod val="95000"/>
                </a:schemeClr>
              </a:solidFill>
              <a:latin typeface="Aptos Narrow"/>
            </a:rPr>
            <a:t>Date</a:t>
          </a:r>
        </a:p>
      </xdr:txBody>
    </xdr:sp>
    <xdr:clientData/>
  </xdr:twoCellAnchor>
  <xdr:twoCellAnchor>
    <xdr:from>
      <xdr:col>6</xdr:col>
      <xdr:colOff>493953</xdr:colOff>
      <xdr:row>24</xdr:row>
      <xdr:rowOff>111577</xdr:rowOff>
    </xdr:from>
    <xdr:to>
      <xdr:col>8</xdr:col>
      <xdr:colOff>68036</xdr:colOff>
      <xdr:row>27</xdr:row>
      <xdr:rowOff>149678</xdr:rowOff>
    </xdr:to>
    <xdr:grpSp>
      <xdr:nvGrpSpPr>
        <xdr:cNvPr id="64" name="Group 63">
          <a:hlinkClick xmlns:r="http://schemas.openxmlformats.org/officeDocument/2006/relationships" r:id="rId5"/>
          <a:extLst>
            <a:ext uri="{FF2B5EF4-FFF2-40B4-BE49-F238E27FC236}">
              <a16:creationId xmlns:a16="http://schemas.microsoft.com/office/drawing/2014/main" id="{D274CE87-2667-5E75-7DD0-F0795BD8E45E}"/>
            </a:ext>
          </a:extLst>
        </xdr:cNvPr>
        <xdr:cNvGrpSpPr/>
      </xdr:nvGrpSpPr>
      <xdr:grpSpPr>
        <a:xfrm>
          <a:off x="4303953" y="4683577"/>
          <a:ext cx="798726" cy="609601"/>
          <a:chOff x="4303953" y="4683577"/>
          <a:chExt cx="798726" cy="609601"/>
        </a:xfrm>
      </xdr:grpSpPr>
      <xdr:sp macro="" textlink="">
        <xdr:nvSpPr>
          <xdr:cNvPr id="17" name="Rectangle: Rounded Corners 16">
            <a:hlinkClick xmlns:r="http://schemas.openxmlformats.org/officeDocument/2006/relationships" r:id="rId5"/>
            <a:extLst>
              <a:ext uri="{FF2B5EF4-FFF2-40B4-BE49-F238E27FC236}">
                <a16:creationId xmlns:a16="http://schemas.microsoft.com/office/drawing/2014/main" id="{8E8398E1-A4F2-D82D-C662-FA6A9927AE5C}"/>
              </a:ext>
            </a:extLst>
          </xdr:cNvPr>
          <xdr:cNvSpPr/>
        </xdr:nvSpPr>
        <xdr:spPr>
          <a:xfrm>
            <a:off x="4303953" y="4683577"/>
            <a:ext cx="798726" cy="609601"/>
          </a:xfrm>
          <a:prstGeom prst="roundRect">
            <a:avLst>
              <a:gd name="adj" fmla="val 13409"/>
            </a:avLst>
          </a:prstGeom>
          <a:solidFill>
            <a:schemeClr val="accent2">
              <a:lumMod val="50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63" name="Graphic 62" descr="Close with solid fill">
            <a:extLst>
              <a:ext uri="{FF2B5EF4-FFF2-40B4-BE49-F238E27FC236}">
                <a16:creationId xmlns:a16="http://schemas.microsoft.com/office/drawing/2014/main" id="{97869A8E-B491-DC78-4091-1E153004EFD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rot="2757854">
            <a:off x="4456029" y="4768364"/>
            <a:ext cx="482864" cy="482864"/>
          </a:xfrm>
          <a:prstGeom prst="rect">
            <a:avLst/>
          </a:prstGeom>
          <a:effectLst>
            <a:outerShdw blurRad="50800" dist="38100" dir="5400000" algn="t" rotWithShape="0">
              <a:prstClr val="black">
                <a:alpha val="40000"/>
              </a:prstClr>
            </a:outerShdw>
          </a:effectLst>
        </xdr:spPr>
      </xdr:pic>
    </xdr:grpSp>
    <xdr:clientData/>
  </xdr:twoCellAnchor>
  <xdr:twoCellAnchor>
    <xdr:from>
      <xdr:col>4</xdr:col>
      <xdr:colOff>122464</xdr:colOff>
      <xdr:row>24</xdr:row>
      <xdr:rowOff>122463</xdr:rowOff>
    </xdr:from>
    <xdr:to>
      <xdr:col>5</xdr:col>
      <xdr:colOff>299357</xdr:colOff>
      <xdr:row>27</xdr:row>
      <xdr:rowOff>176892</xdr:rowOff>
    </xdr:to>
    <xdr:grpSp>
      <xdr:nvGrpSpPr>
        <xdr:cNvPr id="173" name="Group 172">
          <a:extLst>
            <a:ext uri="{FF2B5EF4-FFF2-40B4-BE49-F238E27FC236}">
              <a16:creationId xmlns:a16="http://schemas.microsoft.com/office/drawing/2014/main" id="{F90DD3B2-B24A-0451-5B4B-8E95A84C1EEB}"/>
            </a:ext>
          </a:extLst>
        </xdr:cNvPr>
        <xdr:cNvGrpSpPr/>
      </xdr:nvGrpSpPr>
      <xdr:grpSpPr>
        <a:xfrm>
          <a:off x="2571750" y="4694463"/>
          <a:ext cx="789214" cy="625929"/>
          <a:chOff x="2571750" y="4694463"/>
          <a:chExt cx="789214" cy="625929"/>
        </a:xfrm>
      </xdr:grpSpPr>
      <xdr:sp macro="[0]!PDF_REPORT" textlink="">
        <xdr:nvSpPr>
          <xdr:cNvPr id="4" name="Rectangle: Rounded Corners 3">
            <a:extLst>
              <a:ext uri="{FF2B5EF4-FFF2-40B4-BE49-F238E27FC236}">
                <a16:creationId xmlns:a16="http://schemas.microsoft.com/office/drawing/2014/main" id="{887EF3B3-FDB9-AFF3-BEB6-E48FEC65EF99}"/>
              </a:ext>
            </a:extLst>
          </xdr:cNvPr>
          <xdr:cNvSpPr/>
        </xdr:nvSpPr>
        <xdr:spPr>
          <a:xfrm>
            <a:off x="2571750" y="4694463"/>
            <a:ext cx="789214" cy="625929"/>
          </a:xfrm>
          <a:prstGeom prst="roundRect">
            <a:avLst/>
          </a:prstGeom>
          <a:solidFill>
            <a:schemeClr val="accent2">
              <a:lumMod val="50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170" name="Graphic 169" descr="List with solid fill">
            <a:extLst>
              <a:ext uri="{FF2B5EF4-FFF2-40B4-BE49-F238E27FC236}">
                <a16:creationId xmlns:a16="http://schemas.microsoft.com/office/drawing/2014/main" id="{D6F35CDE-00FF-74E7-ED10-4F3D25E4621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2721427" y="4776106"/>
            <a:ext cx="473530" cy="473530"/>
          </a:xfrm>
          <a:prstGeom prst="rect">
            <a:avLst/>
          </a:prstGeom>
        </xdr:spPr>
      </xdr:pic>
    </xdr:grpSp>
    <xdr:clientData/>
  </xdr:twoCellAnchor>
  <xdr:twoCellAnchor>
    <xdr:from>
      <xdr:col>4</xdr:col>
      <xdr:colOff>122695</xdr:colOff>
      <xdr:row>27</xdr:row>
      <xdr:rowOff>158113</xdr:rowOff>
    </xdr:from>
    <xdr:to>
      <xdr:col>5</xdr:col>
      <xdr:colOff>274154</xdr:colOff>
      <xdr:row>29</xdr:row>
      <xdr:rowOff>61529</xdr:rowOff>
    </xdr:to>
    <xdr:sp macro="" textlink="'PIVIOT TABLE'!X9">
      <xdr:nvSpPr>
        <xdr:cNvPr id="175" name="TextBox 174">
          <a:extLst>
            <a:ext uri="{FF2B5EF4-FFF2-40B4-BE49-F238E27FC236}">
              <a16:creationId xmlns:a16="http://schemas.microsoft.com/office/drawing/2014/main" id="{729209A1-1A4F-451C-A16F-3D1D574A4FC7}"/>
            </a:ext>
          </a:extLst>
        </xdr:cNvPr>
        <xdr:cNvSpPr txBox="1"/>
      </xdr:nvSpPr>
      <xdr:spPr>
        <a:xfrm>
          <a:off x="2561095" y="5301613"/>
          <a:ext cx="761059"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ln>
                <a:noFill/>
              </a:ln>
              <a:solidFill>
                <a:schemeClr val="bg1">
                  <a:lumMod val="95000"/>
                </a:schemeClr>
              </a:solidFill>
              <a:latin typeface="Aptos Narrow"/>
            </a:rPr>
            <a:t>Get</a:t>
          </a:r>
          <a:r>
            <a:rPr lang="en-US" sz="1100" b="1" i="0" u="none" strike="noStrike" baseline="0">
              <a:ln>
                <a:noFill/>
              </a:ln>
              <a:solidFill>
                <a:schemeClr val="bg1">
                  <a:lumMod val="95000"/>
                </a:schemeClr>
              </a:solidFill>
              <a:latin typeface="Aptos Narrow"/>
            </a:rPr>
            <a:t> PDF</a:t>
          </a:r>
        </a:p>
      </xdr:txBody>
    </xdr:sp>
    <xdr:clientData/>
  </xdr:twoCellAnchor>
  <xdr:twoCellAnchor>
    <xdr:from>
      <xdr:col>6</xdr:col>
      <xdr:colOff>520024</xdr:colOff>
      <xdr:row>27</xdr:row>
      <xdr:rowOff>171720</xdr:rowOff>
    </xdr:from>
    <xdr:to>
      <xdr:col>8</xdr:col>
      <xdr:colOff>59161</xdr:colOff>
      <xdr:row>29</xdr:row>
      <xdr:rowOff>75136</xdr:rowOff>
    </xdr:to>
    <xdr:sp macro="" textlink="'PIVIOT TABLE'!X9">
      <xdr:nvSpPr>
        <xdr:cNvPr id="176" name="TextBox 175">
          <a:extLst>
            <a:ext uri="{FF2B5EF4-FFF2-40B4-BE49-F238E27FC236}">
              <a16:creationId xmlns:a16="http://schemas.microsoft.com/office/drawing/2014/main" id="{5C555A88-033A-4026-9284-44F466F76B40}"/>
            </a:ext>
          </a:extLst>
        </xdr:cNvPr>
        <xdr:cNvSpPr txBox="1"/>
      </xdr:nvSpPr>
      <xdr:spPr>
        <a:xfrm>
          <a:off x="4330024" y="5315220"/>
          <a:ext cx="763780"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a:ln>
                <a:noFill/>
              </a:ln>
              <a:solidFill>
                <a:schemeClr val="bg1">
                  <a:lumMod val="95000"/>
                </a:schemeClr>
              </a:solidFill>
              <a:latin typeface="Aptos Narrow"/>
            </a:rPr>
            <a:t>Add EMP</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302558</xdr:colOff>
      <xdr:row>7</xdr:row>
      <xdr:rowOff>190501</xdr:rowOff>
    </xdr:from>
    <xdr:to>
      <xdr:col>13</xdr:col>
      <xdr:colOff>436640</xdr:colOff>
      <xdr:row>11</xdr:row>
      <xdr:rowOff>110940</xdr:rowOff>
    </xdr:to>
    <xdr:grpSp>
      <xdr:nvGrpSpPr>
        <xdr:cNvPr id="2" name="Group 1">
          <a:extLst>
            <a:ext uri="{FF2B5EF4-FFF2-40B4-BE49-F238E27FC236}">
              <a16:creationId xmlns:a16="http://schemas.microsoft.com/office/drawing/2014/main" id="{A2E49246-EFFC-46CA-8F40-CEF6A1CDF433}"/>
            </a:ext>
          </a:extLst>
        </xdr:cNvPr>
        <xdr:cNvGrpSpPr/>
      </xdr:nvGrpSpPr>
      <xdr:grpSpPr>
        <a:xfrm>
          <a:off x="6958852" y="1804148"/>
          <a:ext cx="1344317" cy="682439"/>
          <a:chOff x="3790950" y="381000"/>
          <a:chExt cx="1343025" cy="704851"/>
        </a:xfrm>
      </xdr:grpSpPr>
      <xdr:sp macro="" textlink="'PIVIOT TABLE'!AU11">
        <xdr:nvSpPr>
          <xdr:cNvPr id="3" name="TextBox 2">
            <a:extLst>
              <a:ext uri="{FF2B5EF4-FFF2-40B4-BE49-F238E27FC236}">
                <a16:creationId xmlns:a16="http://schemas.microsoft.com/office/drawing/2014/main" id="{6FBECE09-359A-AA01-D2E4-D188C26DFDD9}"/>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296CB5-0F59-418D-9524-5D00E8E40554}" type="TxLink">
              <a:rPr lang="en-US" sz="1100" b="1" i="0" u="none" strike="noStrike">
                <a:solidFill>
                  <a:srgbClr val="000000"/>
                </a:solidFill>
                <a:latin typeface="Aptos Narrow"/>
              </a:rPr>
              <a:pPr algn="ctr"/>
              <a:t>Name</a:t>
            </a:fld>
            <a:endParaRPr lang="en-US" sz="1100" b="1"/>
          </a:p>
        </xdr:txBody>
      </xdr:sp>
      <xdr:sp macro="" textlink="'PIVIOT TABLE'!AV11">
        <xdr:nvSpPr>
          <xdr:cNvPr id="4" name="TextBox 3">
            <a:extLst>
              <a:ext uri="{FF2B5EF4-FFF2-40B4-BE49-F238E27FC236}">
                <a16:creationId xmlns:a16="http://schemas.microsoft.com/office/drawing/2014/main" id="{91902FC7-163B-4697-C6AD-F85508A1AB9F}"/>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D08084-52F9-42A4-85D3-FFA705503665}" type="TxLink">
              <a:rPr lang="en-US" sz="1100" b="0" i="0" u="none" strike="noStrike">
                <a:solidFill>
                  <a:srgbClr val="000000"/>
                </a:solidFill>
                <a:latin typeface="Aptos Narrow"/>
              </a:rPr>
              <a:pPr algn="ctr"/>
              <a:t>Ali Charle</a:t>
            </a:fld>
            <a:endParaRPr lang="en-US" sz="1100"/>
          </a:p>
        </xdr:txBody>
      </xdr:sp>
    </xdr:grpSp>
    <xdr:clientData/>
  </xdr:twoCellAnchor>
  <xdr:twoCellAnchor>
    <xdr:from>
      <xdr:col>13</xdr:col>
      <xdr:colOff>571499</xdr:colOff>
      <xdr:row>7</xdr:row>
      <xdr:rowOff>188419</xdr:rowOff>
    </xdr:from>
    <xdr:to>
      <xdr:col>16</xdr:col>
      <xdr:colOff>91566</xdr:colOff>
      <xdr:row>11</xdr:row>
      <xdr:rowOff>106458</xdr:rowOff>
    </xdr:to>
    <xdr:grpSp>
      <xdr:nvGrpSpPr>
        <xdr:cNvPr id="5" name="Group 4">
          <a:extLst>
            <a:ext uri="{FF2B5EF4-FFF2-40B4-BE49-F238E27FC236}">
              <a16:creationId xmlns:a16="http://schemas.microsoft.com/office/drawing/2014/main" id="{67E9D1FA-6547-4D30-82C9-5C604877CEC2}"/>
            </a:ext>
          </a:extLst>
        </xdr:cNvPr>
        <xdr:cNvGrpSpPr/>
      </xdr:nvGrpSpPr>
      <xdr:grpSpPr>
        <a:xfrm>
          <a:off x="8438028" y="1802066"/>
          <a:ext cx="1335420" cy="680039"/>
          <a:chOff x="3790950" y="381000"/>
          <a:chExt cx="1343025" cy="704851"/>
        </a:xfrm>
      </xdr:grpSpPr>
      <xdr:sp macro="" textlink="'PIVIOT TABLE'!AU12">
        <xdr:nvSpPr>
          <xdr:cNvPr id="6" name="TextBox 5">
            <a:extLst>
              <a:ext uri="{FF2B5EF4-FFF2-40B4-BE49-F238E27FC236}">
                <a16:creationId xmlns:a16="http://schemas.microsoft.com/office/drawing/2014/main" id="{00C6225A-F230-B483-3834-D4DB32B6ED4B}"/>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051EBE-59D2-4401-A1AF-4FBD96DD522B}" type="TxLink">
              <a:rPr lang="en-US" sz="1100" b="1" i="0" u="none" strike="noStrike">
                <a:solidFill>
                  <a:srgbClr val="000000"/>
                </a:solidFill>
                <a:latin typeface="Aptos Narrow"/>
              </a:rPr>
              <a:pPr algn="ctr"/>
              <a:t>ID Number</a:t>
            </a:fld>
            <a:endParaRPr lang="en-US" sz="1100" b="1"/>
          </a:p>
        </xdr:txBody>
      </xdr:sp>
      <xdr:sp macro="" textlink="'PIVIOT TABLE'!AV12">
        <xdr:nvSpPr>
          <xdr:cNvPr id="7" name="TextBox 6">
            <a:extLst>
              <a:ext uri="{FF2B5EF4-FFF2-40B4-BE49-F238E27FC236}">
                <a16:creationId xmlns:a16="http://schemas.microsoft.com/office/drawing/2014/main" id="{81E2DCDE-2CA9-51DA-05A3-E2D8E60B8D8B}"/>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999C9E0-C1AC-40CF-8298-EE1A7D1528BE}" type="TxLink">
              <a:rPr lang="en-US" sz="1100" b="0" i="0" u="none" strike="noStrike">
                <a:solidFill>
                  <a:srgbClr val="000000"/>
                </a:solidFill>
                <a:latin typeface="Aptos Narrow"/>
              </a:rPr>
              <a:pPr algn="ctr"/>
              <a:t>652-20589</a:t>
            </a:fld>
            <a:endParaRPr lang="en-US" sz="1100"/>
          </a:p>
        </xdr:txBody>
      </xdr:sp>
    </xdr:grpSp>
    <xdr:clientData/>
  </xdr:twoCellAnchor>
  <xdr:twoCellAnchor>
    <xdr:from>
      <xdr:col>16</xdr:col>
      <xdr:colOff>258564</xdr:colOff>
      <xdr:row>7</xdr:row>
      <xdr:rowOff>190420</xdr:rowOff>
    </xdr:from>
    <xdr:to>
      <xdr:col>18</xdr:col>
      <xdr:colOff>392645</xdr:colOff>
      <xdr:row>11</xdr:row>
      <xdr:rowOff>117984</xdr:rowOff>
    </xdr:to>
    <xdr:grpSp>
      <xdr:nvGrpSpPr>
        <xdr:cNvPr id="8" name="Group 7">
          <a:extLst>
            <a:ext uri="{FF2B5EF4-FFF2-40B4-BE49-F238E27FC236}">
              <a16:creationId xmlns:a16="http://schemas.microsoft.com/office/drawing/2014/main" id="{3D81B587-A15D-4C47-9190-8AF0E6FCCC66}"/>
            </a:ext>
          </a:extLst>
        </xdr:cNvPr>
        <xdr:cNvGrpSpPr/>
      </xdr:nvGrpSpPr>
      <xdr:grpSpPr>
        <a:xfrm>
          <a:off x="9940446" y="1804067"/>
          <a:ext cx="1344317" cy="689564"/>
          <a:chOff x="3790950" y="381000"/>
          <a:chExt cx="1343025" cy="704851"/>
        </a:xfrm>
      </xdr:grpSpPr>
      <xdr:sp macro="" textlink="'PIVIOT TABLE'!AU13">
        <xdr:nvSpPr>
          <xdr:cNvPr id="9" name="TextBox 8">
            <a:extLst>
              <a:ext uri="{FF2B5EF4-FFF2-40B4-BE49-F238E27FC236}">
                <a16:creationId xmlns:a16="http://schemas.microsoft.com/office/drawing/2014/main" id="{4E286AD1-AF0D-D511-225B-1EEFD5447DDB}"/>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69BFA3B-52E0-41F6-AB03-40A50791CA76}" type="TxLink">
              <a:rPr lang="en-US" sz="1100" b="1" i="0" u="none" strike="noStrike">
                <a:solidFill>
                  <a:srgbClr val="000000"/>
                </a:solidFill>
                <a:latin typeface="Aptos Narrow"/>
              </a:rPr>
              <a:pPr algn="ctr"/>
              <a:t>Sector</a:t>
            </a:fld>
            <a:endParaRPr lang="en-US" sz="1100" b="1"/>
          </a:p>
        </xdr:txBody>
      </xdr:sp>
      <xdr:sp macro="" textlink="'PIVIOT TABLE'!AV13">
        <xdr:nvSpPr>
          <xdr:cNvPr id="10" name="TextBox 9">
            <a:extLst>
              <a:ext uri="{FF2B5EF4-FFF2-40B4-BE49-F238E27FC236}">
                <a16:creationId xmlns:a16="http://schemas.microsoft.com/office/drawing/2014/main" id="{35BC0441-3B7B-B7EA-BAA6-54895F656E41}"/>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F30660-5224-44DE-BA0A-C7541D3C351D}" type="TxLink">
              <a:rPr lang="en-US" sz="1100" b="0" i="0" u="none" strike="noStrike">
                <a:solidFill>
                  <a:srgbClr val="000000"/>
                </a:solidFill>
                <a:latin typeface="Aptos Narrow"/>
              </a:rPr>
              <a:pPr algn="ctr"/>
              <a:t>Real Estate</a:t>
            </a:fld>
            <a:endParaRPr lang="en-US" sz="1100"/>
          </a:p>
        </xdr:txBody>
      </xdr:sp>
    </xdr:grpSp>
    <xdr:clientData/>
  </xdr:twoCellAnchor>
  <xdr:twoCellAnchor>
    <xdr:from>
      <xdr:col>16</xdr:col>
      <xdr:colOff>267426</xdr:colOff>
      <xdr:row>12</xdr:row>
      <xdr:rowOff>37780</xdr:rowOff>
    </xdr:from>
    <xdr:to>
      <xdr:col>18</xdr:col>
      <xdr:colOff>401507</xdr:colOff>
      <xdr:row>15</xdr:row>
      <xdr:rowOff>173533</xdr:rowOff>
    </xdr:to>
    <xdr:grpSp>
      <xdr:nvGrpSpPr>
        <xdr:cNvPr id="11" name="Group 10">
          <a:extLst>
            <a:ext uri="{FF2B5EF4-FFF2-40B4-BE49-F238E27FC236}">
              <a16:creationId xmlns:a16="http://schemas.microsoft.com/office/drawing/2014/main" id="{25617472-CC95-4E3B-95D3-0B7BCAADC59C}"/>
            </a:ext>
          </a:extLst>
        </xdr:cNvPr>
        <xdr:cNvGrpSpPr/>
      </xdr:nvGrpSpPr>
      <xdr:grpSpPr>
        <a:xfrm>
          <a:off x="9949308" y="2603927"/>
          <a:ext cx="1344317" cy="707253"/>
          <a:chOff x="3790950" y="381000"/>
          <a:chExt cx="1343025" cy="704851"/>
        </a:xfrm>
      </xdr:grpSpPr>
      <xdr:sp macro="" textlink="'PIVIOT TABLE'!AU18">
        <xdr:nvSpPr>
          <xdr:cNvPr id="12" name="TextBox 11">
            <a:extLst>
              <a:ext uri="{FF2B5EF4-FFF2-40B4-BE49-F238E27FC236}">
                <a16:creationId xmlns:a16="http://schemas.microsoft.com/office/drawing/2014/main" id="{A02D8D8C-35CF-66CA-1CA5-89F1C65BE067}"/>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09CB18-B95E-4399-9BFE-5E2D0687A1A9}" type="TxLink">
              <a:rPr lang="en-US" sz="1100" b="1" i="0" u="none" strike="noStrike">
                <a:solidFill>
                  <a:srgbClr val="000000"/>
                </a:solidFill>
                <a:latin typeface="Aptos Narrow"/>
              </a:rPr>
              <a:pPr algn="ctr"/>
              <a:t>Manager Name</a:t>
            </a:fld>
            <a:endParaRPr lang="en-US" sz="1100" b="1"/>
          </a:p>
        </xdr:txBody>
      </xdr:sp>
      <xdr:sp macro="" textlink="'PIVIOT TABLE'!AV18">
        <xdr:nvSpPr>
          <xdr:cNvPr id="13" name="TextBox 12">
            <a:extLst>
              <a:ext uri="{FF2B5EF4-FFF2-40B4-BE49-F238E27FC236}">
                <a16:creationId xmlns:a16="http://schemas.microsoft.com/office/drawing/2014/main" id="{43732FE7-B299-5486-20EE-D60472A17DC1}"/>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DAAD485-60ED-49FC-B958-0A0B2ABCC722}" type="TxLink">
              <a:rPr lang="en-US" sz="1100" b="0" i="0" u="none" strike="noStrike">
                <a:solidFill>
                  <a:srgbClr val="000000"/>
                </a:solidFill>
                <a:latin typeface="Aptos Narrow"/>
              </a:rPr>
              <a:pPr algn="ctr"/>
              <a:t>Ali Charle</a:t>
            </a:fld>
            <a:endParaRPr lang="en-US" sz="1100"/>
          </a:p>
        </xdr:txBody>
      </xdr:sp>
    </xdr:grpSp>
    <xdr:clientData/>
  </xdr:twoCellAnchor>
  <xdr:twoCellAnchor>
    <xdr:from>
      <xdr:col>11</xdr:col>
      <xdr:colOff>299312</xdr:colOff>
      <xdr:row>12</xdr:row>
      <xdr:rowOff>73319</xdr:rowOff>
    </xdr:from>
    <xdr:to>
      <xdr:col>13</xdr:col>
      <xdr:colOff>433392</xdr:colOff>
      <xdr:row>16</xdr:row>
      <xdr:rowOff>4965</xdr:rowOff>
    </xdr:to>
    <xdr:grpSp>
      <xdr:nvGrpSpPr>
        <xdr:cNvPr id="14" name="Group 13">
          <a:extLst>
            <a:ext uri="{FF2B5EF4-FFF2-40B4-BE49-F238E27FC236}">
              <a16:creationId xmlns:a16="http://schemas.microsoft.com/office/drawing/2014/main" id="{ECC40E06-764F-4D98-88D2-BEEC017DB908}"/>
            </a:ext>
          </a:extLst>
        </xdr:cNvPr>
        <xdr:cNvGrpSpPr/>
      </xdr:nvGrpSpPr>
      <xdr:grpSpPr>
        <a:xfrm>
          <a:off x="6955606" y="2639466"/>
          <a:ext cx="1344315" cy="693646"/>
          <a:chOff x="3790950" y="381000"/>
          <a:chExt cx="1343025" cy="704851"/>
        </a:xfrm>
      </xdr:grpSpPr>
      <xdr:sp macro="" textlink="'PIVIOT TABLE'!AU16">
        <xdr:nvSpPr>
          <xdr:cNvPr id="15" name="TextBox 14">
            <a:extLst>
              <a:ext uri="{FF2B5EF4-FFF2-40B4-BE49-F238E27FC236}">
                <a16:creationId xmlns:a16="http://schemas.microsoft.com/office/drawing/2014/main" id="{53C354A9-C5FE-C7A6-6441-EF3A5F07A718}"/>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1C2F34-2A16-42A7-A738-43D2BB197528}" type="TxLink">
              <a:rPr lang="en-US" sz="1100" b="1" i="0" u="none" strike="noStrike">
                <a:solidFill>
                  <a:srgbClr val="000000"/>
                </a:solidFill>
                <a:latin typeface="Aptos Narrow"/>
              </a:rPr>
              <a:pPr algn="ctr"/>
              <a:t>Department</a:t>
            </a:fld>
            <a:endParaRPr lang="en-US" sz="1100" b="1"/>
          </a:p>
        </xdr:txBody>
      </xdr:sp>
      <xdr:sp macro="" textlink="'PIVIOT TABLE'!AV16">
        <xdr:nvSpPr>
          <xdr:cNvPr id="16" name="TextBox 15">
            <a:extLst>
              <a:ext uri="{FF2B5EF4-FFF2-40B4-BE49-F238E27FC236}">
                <a16:creationId xmlns:a16="http://schemas.microsoft.com/office/drawing/2014/main" id="{FA6C8975-EF29-B6E8-E9A4-4675E52B52F7}"/>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CDDC2C-2220-4083-B8D9-025D1D494778}" type="TxLink">
              <a:rPr lang="en-US" sz="1100" b="0" i="0" u="none" strike="noStrike">
                <a:solidFill>
                  <a:srgbClr val="000000"/>
                </a:solidFill>
                <a:latin typeface="Aptos Narrow"/>
              </a:rPr>
              <a:pPr algn="ctr"/>
              <a:t>Head Office</a:t>
            </a:fld>
            <a:endParaRPr lang="en-US" sz="1100"/>
          </a:p>
        </xdr:txBody>
      </xdr:sp>
    </xdr:grpSp>
    <xdr:clientData/>
  </xdr:twoCellAnchor>
  <xdr:twoCellAnchor>
    <xdr:from>
      <xdr:col>13</xdr:col>
      <xdr:colOff>593531</xdr:colOff>
      <xdr:row>12</xdr:row>
      <xdr:rowOff>48827</xdr:rowOff>
    </xdr:from>
    <xdr:to>
      <xdr:col>16</xdr:col>
      <xdr:colOff>123525</xdr:colOff>
      <xdr:row>15</xdr:row>
      <xdr:rowOff>184580</xdr:rowOff>
    </xdr:to>
    <xdr:grpSp>
      <xdr:nvGrpSpPr>
        <xdr:cNvPr id="17" name="Group 16">
          <a:extLst>
            <a:ext uri="{FF2B5EF4-FFF2-40B4-BE49-F238E27FC236}">
              <a16:creationId xmlns:a16="http://schemas.microsoft.com/office/drawing/2014/main" id="{6B577D04-D0BA-4AB1-A8D8-C5DEEFBFA7C2}"/>
            </a:ext>
          </a:extLst>
        </xdr:cNvPr>
        <xdr:cNvGrpSpPr/>
      </xdr:nvGrpSpPr>
      <xdr:grpSpPr>
        <a:xfrm>
          <a:off x="8460060" y="2614974"/>
          <a:ext cx="1345347" cy="707253"/>
          <a:chOff x="3790950" y="381000"/>
          <a:chExt cx="1343025" cy="704851"/>
        </a:xfrm>
      </xdr:grpSpPr>
      <xdr:sp macro="" textlink="'PIVIOT TABLE'!AU17">
        <xdr:nvSpPr>
          <xdr:cNvPr id="18" name="TextBox 17">
            <a:extLst>
              <a:ext uri="{FF2B5EF4-FFF2-40B4-BE49-F238E27FC236}">
                <a16:creationId xmlns:a16="http://schemas.microsoft.com/office/drawing/2014/main" id="{B2DEA185-E3CC-7243-37B7-6F6E49537A43}"/>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63F34E-8496-4FCC-9150-8FF5375B7CC3}" type="TxLink">
              <a:rPr lang="en-US" sz="1100" b="1" i="0" u="none" strike="noStrike">
                <a:solidFill>
                  <a:srgbClr val="000000"/>
                </a:solidFill>
                <a:latin typeface="Aptos Narrow"/>
              </a:rPr>
              <a:pPr algn="ctr"/>
              <a:t>Position Level</a:t>
            </a:fld>
            <a:endParaRPr lang="en-US" sz="1100" b="1"/>
          </a:p>
        </xdr:txBody>
      </xdr:sp>
      <xdr:sp macro="" textlink="'PIVIOT TABLE'!AV17">
        <xdr:nvSpPr>
          <xdr:cNvPr id="19" name="TextBox 18">
            <a:extLst>
              <a:ext uri="{FF2B5EF4-FFF2-40B4-BE49-F238E27FC236}">
                <a16:creationId xmlns:a16="http://schemas.microsoft.com/office/drawing/2014/main" id="{000A7EAE-EA2F-20C7-27E7-FC8011921D5B}"/>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6D2D0-A98E-4396-A57A-54DE53191837}" type="TxLink">
              <a:rPr lang="en-US" sz="1100" b="0" i="0" u="none" strike="noStrike">
                <a:solidFill>
                  <a:srgbClr val="000000"/>
                </a:solidFill>
                <a:latin typeface="Aptos Narrow"/>
              </a:rPr>
              <a:pPr algn="ctr"/>
              <a:t>Mid-level</a:t>
            </a:fld>
            <a:endParaRPr lang="en-US" sz="1100"/>
          </a:p>
        </xdr:txBody>
      </xdr:sp>
    </xdr:grpSp>
    <xdr:clientData/>
  </xdr:twoCellAnchor>
  <xdr:twoCellAnchor>
    <xdr:from>
      <xdr:col>18</xdr:col>
      <xdr:colOff>541486</xdr:colOff>
      <xdr:row>7</xdr:row>
      <xdr:rowOff>200425</xdr:rowOff>
    </xdr:from>
    <xdr:to>
      <xdr:col>21</xdr:col>
      <xdr:colOff>71481</xdr:colOff>
      <xdr:row>11</xdr:row>
      <xdr:rowOff>118464</xdr:rowOff>
    </xdr:to>
    <xdr:grpSp>
      <xdr:nvGrpSpPr>
        <xdr:cNvPr id="20" name="Group 19">
          <a:extLst>
            <a:ext uri="{FF2B5EF4-FFF2-40B4-BE49-F238E27FC236}">
              <a16:creationId xmlns:a16="http://schemas.microsoft.com/office/drawing/2014/main" id="{6E33957E-0C32-486E-A630-AEB021AA0319}"/>
            </a:ext>
          </a:extLst>
        </xdr:cNvPr>
        <xdr:cNvGrpSpPr/>
      </xdr:nvGrpSpPr>
      <xdr:grpSpPr>
        <a:xfrm>
          <a:off x="11433604" y="1804547"/>
          <a:ext cx="1345348" cy="689564"/>
          <a:chOff x="3790950" y="381000"/>
          <a:chExt cx="1343025" cy="704851"/>
        </a:xfrm>
      </xdr:grpSpPr>
      <xdr:sp macro="" textlink="'PIVIOT TABLE'!AU14">
        <xdr:nvSpPr>
          <xdr:cNvPr id="21" name="TextBox 20">
            <a:extLst>
              <a:ext uri="{FF2B5EF4-FFF2-40B4-BE49-F238E27FC236}">
                <a16:creationId xmlns:a16="http://schemas.microsoft.com/office/drawing/2014/main" id="{99123CC0-DFAA-0CDD-FD63-54411EABB9DA}"/>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F05560-1D51-4A1C-80B3-4A1A801F3C4E}" type="TxLink">
              <a:rPr lang="en-US" sz="1100" b="1" i="0" u="none" strike="noStrike">
                <a:solidFill>
                  <a:srgbClr val="000000"/>
                </a:solidFill>
                <a:latin typeface="Aptos Narrow"/>
              </a:rPr>
              <a:pPr algn="ctr"/>
              <a:t>Job Title</a:t>
            </a:fld>
            <a:endParaRPr lang="en-US" sz="1100" b="1"/>
          </a:p>
        </xdr:txBody>
      </xdr:sp>
      <xdr:sp macro="" textlink="'PIVIOT TABLE'!AV15">
        <xdr:nvSpPr>
          <xdr:cNvPr id="22" name="TextBox 21">
            <a:extLst>
              <a:ext uri="{FF2B5EF4-FFF2-40B4-BE49-F238E27FC236}">
                <a16:creationId xmlns:a16="http://schemas.microsoft.com/office/drawing/2014/main" id="{EEB2742A-7E96-B75F-6CD4-35E7B57E72C5}"/>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448B02-95F4-45CE-ADB6-368F353B83CF}" type="TxLink">
              <a:rPr lang="en-US" sz="1100" b="0" i="0" u="none" strike="noStrike">
                <a:solidFill>
                  <a:srgbClr val="000000"/>
                </a:solidFill>
                <a:latin typeface="Aptos Narrow"/>
              </a:rPr>
              <a:pPr algn="ctr"/>
              <a:t>The Human Resources Assistant is responsible for supporting daily HR functions and assisting in various administrative tasks. The role focuses on employee onboarding, maintaining HR records, payroll processing support, and general employee communication. </a:t>
            </a:fld>
            <a:endParaRPr lang="en-US" sz="1100"/>
          </a:p>
        </xdr:txBody>
      </xdr:sp>
    </xdr:grpSp>
    <xdr:clientData/>
  </xdr:twoCellAnchor>
  <xdr:twoCellAnchor>
    <xdr:from>
      <xdr:col>18</xdr:col>
      <xdr:colOff>558265</xdr:colOff>
      <xdr:row>12</xdr:row>
      <xdr:rowOff>54429</xdr:rowOff>
    </xdr:from>
    <xdr:to>
      <xdr:col>21</xdr:col>
      <xdr:colOff>77304</xdr:colOff>
      <xdr:row>15</xdr:row>
      <xdr:rowOff>190182</xdr:rowOff>
    </xdr:to>
    <xdr:grpSp>
      <xdr:nvGrpSpPr>
        <xdr:cNvPr id="23" name="Group 22">
          <a:extLst>
            <a:ext uri="{FF2B5EF4-FFF2-40B4-BE49-F238E27FC236}">
              <a16:creationId xmlns:a16="http://schemas.microsoft.com/office/drawing/2014/main" id="{65CA820A-2198-4574-A555-39D600610FAF}"/>
            </a:ext>
          </a:extLst>
        </xdr:cNvPr>
        <xdr:cNvGrpSpPr/>
      </xdr:nvGrpSpPr>
      <xdr:grpSpPr>
        <a:xfrm>
          <a:off x="11450383" y="2620576"/>
          <a:ext cx="1334392" cy="707253"/>
          <a:chOff x="3790950" y="381000"/>
          <a:chExt cx="1343025" cy="704851"/>
        </a:xfrm>
      </xdr:grpSpPr>
      <xdr:sp macro="" textlink="'PIVIOT TABLE'!AU19">
        <xdr:nvSpPr>
          <xdr:cNvPr id="24" name="TextBox 23">
            <a:extLst>
              <a:ext uri="{FF2B5EF4-FFF2-40B4-BE49-F238E27FC236}">
                <a16:creationId xmlns:a16="http://schemas.microsoft.com/office/drawing/2014/main" id="{6B9083AB-F4E9-9991-E8E7-A2393218989C}"/>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02896D-AAD3-4D07-AC21-F1F81B577BC4}" type="TxLink">
              <a:rPr lang="en-US" sz="1100" b="1" i="0" u="none" strike="noStrike">
                <a:solidFill>
                  <a:srgbClr val="000000"/>
                </a:solidFill>
                <a:latin typeface="Aptos Narrow"/>
              </a:rPr>
              <a:pPr algn="ctr"/>
              <a:t>Nationality</a:t>
            </a:fld>
            <a:endParaRPr lang="en-US" sz="1100" b="1"/>
          </a:p>
        </xdr:txBody>
      </xdr:sp>
      <xdr:sp macro="" textlink="'PIVIOT TABLE'!AV19">
        <xdr:nvSpPr>
          <xdr:cNvPr id="25" name="TextBox 24">
            <a:extLst>
              <a:ext uri="{FF2B5EF4-FFF2-40B4-BE49-F238E27FC236}">
                <a16:creationId xmlns:a16="http://schemas.microsoft.com/office/drawing/2014/main" id="{71E03AA2-C91D-592E-1AFF-33F940870EAB}"/>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840716-0F39-40EA-A054-3B1BAA301067}" type="TxLink">
              <a:rPr lang="en-US" sz="1100" b="0" i="0" u="none" strike="noStrike">
                <a:solidFill>
                  <a:srgbClr val="000000"/>
                </a:solidFill>
                <a:latin typeface="Aptos Narrow"/>
              </a:rPr>
              <a:pPr algn="ctr"/>
              <a:t>Egyptian</a:t>
            </a:fld>
            <a:endParaRPr lang="en-US" sz="1100"/>
          </a:p>
        </xdr:txBody>
      </xdr:sp>
    </xdr:grpSp>
    <xdr:clientData/>
  </xdr:twoCellAnchor>
  <xdr:twoCellAnchor>
    <xdr:from>
      <xdr:col>14</xdr:col>
      <xdr:colOff>14328</xdr:colOff>
      <xdr:row>21</xdr:row>
      <xdr:rowOff>103939</xdr:rowOff>
    </xdr:from>
    <xdr:to>
      <xdr:col>16</xdr:col>
      <xdr:colOff>132710</xdr:colOff>
      <xdr:row>25</xdr:row>
      <xdr:rowOff>46790</xdr:rowOff>
    </xdr:to>
    <xdr:grpSp>
      <xdr:nvGrpSpPr>
        <xdr:cNvPr id="47" name="Group 46">
          <a:extLst>
            <a:ext uri="{FF2B5EF4-FFF2-40B4-BE49-F238E27FC236}">
              <a16:creationId xmlns:a16="http://schemas.microsoft.com/office/drawing/2014/main" id="{4A2097A5-B0E2-4371-9C15-B19AFF7FD2D5}"/>
            </a:ext>
          </a:extLst>
        </xdr:cNvPr>
        <xdr:cNvGrpSpPr/>
      </xdr:nvGrpSpPr>
      <xdr:grpSpPr>
        <a:xfrm>
          <a:off x="8485975" y="4384586"/>
          <a:ext cx="1328617" cy="704851"/>
          <a:chOff x="3790950" y="381000"/>
          <a:chExt cx="1343025" cy="704851"/>
        </a:xfrm>
      </xdr:grpSpPr>
      <xdr:sp macro="" textlink="'PIVIOT TABLE'!S3">
        <xdr:nvSpPr>
          <xdr:cNvPr id="48" name="TextBox 47">
            <a:extLst>
              <a:ext uri="{FF2B5EF4-FFF2-40B4-BE49-F238E27FC236}">
                <a16:creationId xmlns:a16="http://schemas.microsoft.com/office/drawing/2014/main" id="{F2F41945-4E27-2631-A09F-B96A943B9CCD}"/>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3CE733-E754-4C84-8274-845FAB9BB756}" type="TxLink">
              <a:rPr lang="en-US" sz="1100" b="1" i="0" u="none" strike="noStrike">
                <a:solidFill>
                  <a:srgbClr val="000000"/>
                </a:solidFill>
                <a:latin typeface="Aptos Narrow"/>
              </a:rPr>
              <a:pPr algn="ctr"/>
              <a:t>Late Attendenced</a:t>
            </a:fld>
            <a:endParaRPr lang="en-US" sz="1100" b="1"/>
          </a:p>
        </xdr:txBody>
      </xdr:sp>
      <xdr:sp macro="" textlink="'PIVIOT TABLE'!S4">
        <xdr:nvSpPr>
          <xdr:cNvPr id="49" name="TextBox 48">
            <a:extLst>
              <a:ext uri="{FF2B5EF4-FFF2-40B4-BE49-F238E27FC236}">
                <a16:creationId xmlns:a16="http://schemas.microsoft.com/office/drawing/2014/main" id="{E58EFF2F-5F3B-2193-7551-F6FD6C342E94}"/>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1F7359-3B37-4E9E-BDE1-04BE26E7729A}" type="TxLink">
              <a:rPr lang="en-US" sz="1100" b="0" i="0" u="none" strike="noStrike">
                <a:solidFill>
                  <a:srgbClr val="000000"/>
                </a:solidFill>
                <a:latin typeface="Aptos Narrow"/>
              </a:rPr>
              <a:pPr algn="ctr"/>
              <a:t>17:21</a:t>
            </a:fld>
            <a:endParaRPr lang="en-US" sz="1100"/>
          </a:p>
        </xdr:txBody>
      </xdr:sp>
    </xdr:grpSp>
    <xdr:clientData/>
  </xdr:twoCellAnchor>
  <xdr:twoCellAnchor>
    <xdr:from>
      <xdr:col>11</xdr:col>
      <xdr:colOff>312343</xdr:colOff>
      <xdr:row>21</xdr:row>
      <xdr:rowOff>122990</xdr:rowOff>
    </xdr:from>
    <xdr:to>
      <xdr:col>13</xdr:col>
      <xdr:colOff>437490</xdr:colOff>
      <xdr:row>25</xdr:row>
      <xdr:rowOff>46791</xdr:rowOff>
    </xdr:to>
    <xdr:grpSp>
      <xdr:nvGrpSpPr>
        <xdr:cNvPr id="50" name="Group 49">
          <a:extLst>
            <a:ext uri="{FF2B5EF4-FFF2-40B4-BE49-F238E27FC236}">
              <a16:creationId xmlns:a16="http://schemas.microsoft.com/office/drawing/2014/main" id="{F4FD5BFA-8359-4261-B4F6-8CB8B00BC455}"/>
            </a:ext>
          </a:extLst>
        </xdr:cNvPr>
        <xdr:cNvGrpSpPr/>
      </xdr:nvGrpSpPr>
      <xdr:grpSpPr>
        <a:xfrm>
          <a:off x="6968637" y="4403637"/>
          <a:ext cx="1335382" cy="685801"/>
          <a:chOff x="3790950" y="381000"/>
          <a:chExt cx="1347080" cy="685801"/>
        </a:xfrm>
      </xdr:grpSpPr>
      <xdr:sp macro="" textlink="'PIVIOT TABLE'!N3">
        <xdr:nvSpPr>
          <xdr:cNvPr id="51" name="TextBox 50">
            <a:extLst>
              <a:ext uri="{FF2B5EF4-FFF2-40B4-BE49-F238E27FC236}">
                <a16:creationId xmlns:a16="http://schemas.microsoft.com/office/drawing/2014/main" id="{7C6FF899-A1C4-6A28-FBBE-58D7CB29DD78}"/>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D29170-4F13-4570-9240-D79D18745460}" type="TxLink">
              <a:rPr lang="en-US" sz="1100" b="1" i="0" u="none" strike="noStrike">
                <a:solidFill>
                  <a:srgbClr val="000000"/>
                </a:solidFill>
                <a:latin typeface="Aptos Narrow"/>
              </a:rPr>
              <a:pPr algn="ctr"/>
              <a:t>Working Hour</a:t>
            </a:fld>
            <a:endParaRPr lang="en-US" sz="1100"/>
          </a:p>
        </xdr:txBody>
      </xdr:sp>
      <xdr:sp macro="" textlink="'PIVIOT TABLE'!N4">
        <xdr:nvSpPr>
          <xdr:cNvPr id="52" name="TextBox 51">
            <a:extLst>
              <a:ext uri="{FF2B5EF4-FFF2-40B4-BE49-F238E27FC236}">
                <a16:creationId xmlns:a16="http://schemas.microsoft.com/office/drawing/2014/main" id="{CED61CE0-D32E-EC31-7B21-3CEE6739BB9E}"/>
              </a:ext>
            </a:extLst>
          </xdr:cNvPr>
          <xdr:cNvSpPr txBox="1"/>
        </xdr:nvSpPr>
        <xdr:spPr>
          <a:xfrm>
            <a:off x="3795005" y="78105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7B63CB-6A29-4BD1-AB09-7DB47A55B214}" type="TxLink">
              <a:rPr lang="en-US" sz="1100" b="0" i="0" u="none" strike="noStrike">
                <a:solidFill>
                  <a:srgbClr val="000000"/>
                </a:solidFill>
                <a:latin typeface="Aptos Narrow"/>
              </a:rPr>
              <a:pPr algn="ctr"/>
              <a:t>22:06</a:t>
            </a:fld>
            <a:endParaRPr lang="en-US" sz="1100"/>
          </a:p>
        </xdr:txBody>
      </xdr:sp>
    </xdr:grpSp>
    <xdr:clientData/>
  </xdr:twoCellAnchor>
  <xdr:twoCellAnchor>
    <xdr:from>
      <xdr:col>16</xdr:col>
      <xdr:colOff>294636</xdr:colOff>
      <xdr:row>21</xdr:row>
      <xdr:rowOff>106661</xdr:rowOff>
    </xdr:from>
    <xdr:to>
      <xdr:col>18</xdr:col>
      <xdr:colOff>413017</xdr:colOff>
      <xdr:row>25</xdr:row>
      <xdr:rowOff>49512</xdr:rowOff>
    </xdr:to>
    <xdr:grpSp>
      <xdr:nvGrpSpPr>
        <xdr:cNvPr id="53" name="Group 52">
          <a:extLst>
            <a:ext uri="{FF2B5EF4-FFF2-40B4-BE49-F238E27FC236}">
              <a16:creationId xmlns:a16="http://schemas.microsoft.com/office/drawing/2014/main" id="{4DBAAC3C-E417-466C-ADDB-9D55FDFA5E85}"/>
            </a:ext>
          </a:extLst>
        </xdr:cNvPr>
        <xdr:cNvGrpSpPr/>
      </xdr:nvGrpSpPr>
      <xdr:grpSpPr>
        <a:xfrm>
          <a:off x="9976518" y="4387308"/>
          <a:ext cx="1328617" cy="704851"/>
          <a:chOff x="3790950" y="381000"/>
          <a:chExt cx="1343025" cy="704851"/>
        </a:xfrm>
      </xdr:grpSpPr>
      <xdr:sp macro="" textlink="'PIVIOT TABLE'!X10">
        <xdr:nvSpPr>
          <xdr:cNvPr id="54" name="TextBox 53">
            <a:extLst>
              <a:ext uri="{FF2B5EF4-FFF2-40B4-BE49-F238E27FC236}">
                <a16:creationId xmlns:a16="http://schemas.microsoft.com/office/drawing/2014/main" id="{7C4907AD-493D-68A8-FC8F-1A1356C35CFA}"/>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F40997-CFF5-4C5E-AAC6-1F2357C82BF5}" type="TxLink">
              <a:rPr lang="en-US" sz="1100" b="1" i="0" u="none" strike="noStrike">
                <a:solidFill>
                  <a:srgbClr val="000000"/>
                </a:solidFill>
                <a:latin typeface="Aptos Narrow"/>
              </a:rPr>
              <a:pPr algn="ctr"/>
              <a:t>DAY OFF</a:t>
            </a:fld>
            <a:endParaRPr lang="en-US" sz="1100" b="1"/>
          </a:p>
        </xdr:txBody>
      </xdr:sp>
      <xdr:sp macro="" textlink="'PIVIOT TABLE'!Y10">
        <xdr:nvSpPr>
          <xdr:cNvPr id="55" name="TextBox 54">
            <a:extLst>
              <a:ext uri="{FF2B5EF4-FFF2-40B4-BE49-F238E27FC236}">
                <a16:creationId xmlns:a16="http://schemas.microsoft.com/office/drawing/2014/main" id="{FAE5483A-5F69-2652-71C0-4F8EF8B15176}"/>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9787A1-6482-4C4A-8E27-03790CDDB288}" type="TxLink">
              <a:rPr lang="en-US" sz="1100" b="0" i="0" u="none" strike="noStrike">
                <a:solidFill>
                  <a:srgbClr val="000000"/>
                </a:solidFill>
                <a:latin typeface="Aptos Narrow"/>
              </a:rPr>
              <a:pPr algn="ctr"/>
              <a:t>43</a:t>
            </a:fld>
            <a:endParaRPr lang="en-US" sz="1100"/>
          </a:p>
        </xdr:txBody>
      </xdr:sp>
    </xdr:grpSp>
    <xdr:clientData/>
  </xdr:twoCellAnchor>
  <xdr:twoCellAnchor>
    <xdr:from>
      <xdr:col>18</xdr:col>
      <xdr:colOff>594915</xdr:colOff>
      <xdr:row>21</xdr:row>
      <xdr:rowOff>106923</xdr:rowOff>
    </xdr:from>
    <xdr:to>
      <xdr:col>21</xdr:col>
      <xdr:colOff>105730</xdr:colOff>
      <xdr:row>25</xdr:row>
      <xdr:rowOff>49774</xdr:rowOff>
    </xdr:to>
    <xdr:grpSp>
      <xdr:nvGrpSpPr>
        <xdr:cNvPr id="56" name="Group 55">
          <a:extLst>
            <a:ext uri="{FF2B5EF4-FFF2-40B4-BE49-F238E27FC236}">
              <a16:creationId xmlns:a16="http://schemas.microsoft.com/office/drawing/2014/main" id="{C3B89C4C-B4F0-4FFA-93E4-B2C5E48DA04A}"/>
            </a:ext>
          </a:extLst>
        </xdr:cNvPr>
        <xdr:cNvGrpSpPr/>
      </xdr:nvGrpSpPr>
      <xdr:grpSpPr>
        <a:xfrm>
          <a:off x="11487033" y="4387570"/>
          <a:ext cx="1326168" cy="704851"/>
          <a:chOff x="3790950" y="381000"/>
          <a:chExt cx="1343025" cy="704851"/>
        </a:xfrm>
      </xdr:grpSpPr>
      <xdr:sp macro="" textlink="'PIVIOT TABLE'!AU21">
        <xdr:nvSpPr>
          <xdr:cNvPr id="57" name="TextBox 56">
            <a:extLst>
              <a:ext uri="{FF2B5EF4-FFF2-40B4-BE49-F238E27FC236}">
                <a16:creationId xmlns:a16="http://schemas.microsoft.com/office/drawing/2014/main" id="{E219F679-E4A5-E0B3-283B-B4A1EC143C09}"/>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6BF948D-D072-46B4-AD53-C9AE3B36E7FA}" type="TxLink">
              <a:rPr lang="en-US" sz="1100" b="1" i="0" u="none" strike="noStrike">
                <a:solidFill>
                  <a:srgbClr val="000000"/>
                </a:solidFill>
                <a:latin typeface="Aptos Narrow"/>
              </a:rPr>
              <a:pPr algn="ctr"/>
              <a:t>Hiring Date</a:t>
            </a:fld>
            <a:endParaRPr lang="en-US" sz="1100" b="1"/>
          </a:p>
        </xdr:txBody>
      </xdr:sp>
      <xdr:sp macro="" textlink="'PIVIOT TABLE'!AV21">
        <xdr:nvSpPr>
          <xdr:cNvPr id="58" name="TextBox 57">
            <a:extLst>
              <a:ext uri="{FF2B5EF4-FFF2-40B4-BE49-F238E27FC236}">
                <a16:creationId xmlns:a16="http://schemas.microsoft.com/office/drawing/2014/main" id="{13E3AE1B-FB57-605C-A278-DEBC9B428868}"/>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E2215DC-1391-4B27-BF8C-BA7734AF8264}" type="TxLink">
              <a:rPr lang="en-US" sz="1100" b="0" i="0" u="none" strike="noStrike">
                <a:solidFill>
                  <a:srgbClr val="000000"/>
                </a:solidFill>
                <a:latin typeface="Aptos Narrow"/>
              </a:rPr>
              <a:pPr algn="ctr"/>
              <a:t>7/25/22</a:t>
            </a:fld>
            <a:endParaRPr lang="en-US" sz="1100"/>
          </a:p>
        </xdr:txBody>
      </xdr:sp>
    </xdr:grpSp>
    <xdr:clientData/>
  </xdr:twoCellAnchor>
  <xdr:twoCellAnchor>
    <xdr:from>
      <xdr:col>14</xdr:col>
      <xdr:colOff>3442</xdr:colOff>
      <xdr:row>16</xdr:row>
      <xdr:rowOff>163812</xdr:rowOff>
    </xdr:from>
    <xdr:to>
      <xdr:col>16</xdr:col>
      <xdr:colOff>124545</xdr:colOff>
      <xdr:row>20</xdr:row>
      <xdr:rowOff>97138</xdr:rowOff>
    </xdr:to>
    <xdr:grpSp>
      <xdr:nvGrpSpPr>
        <xdr:cNvPr id="59" name="Group 58">
          <a:extLst>
            <a:ext uri="{FF2B5EF4-FFF2-40B4-BE49-F238E27FC236}">
              <a16:creationId xmlns:a16="http://schemas.microsoft.com/office/drawing/2014/main" id="{FF18E83F-B168-481E-A533-442CA5891D65}"/>
            </a:ext>
          </a:extLst>
        </xdr:cNvPr>
        <xdr:cNvGrpSpPr/>
      </xdr:nvGrpSpPr>
      <xdr:grpSpPr>
        <a:xfrm>
          <a:off x="8475089" y="3491959"/>
          <a:ext cx="1331338" cy="695326"/>
          <a:chOff x="3790950" y="381000"/>
          <a:chExt cx="1343025" cy="695326"/>
        </a:xfrm>
      </xdr:grpSpPr>
      <xdr:sp macro="" textlink="'PIVIOT TABLE'!D3">
        <xdr:nvSpPr>
          <xdr:cNvPr id="60" name="TextBox 59">
            <a:extLst>
              <a:ext uri="{FF2B5EF4-FFF2-40B4-BE49-F238E27FC236}">
                <a16:creationId xmlns:a16="http://schemas.microsoft.com/office/drawing/2014/main" id="{5F821A9F-7374-B8E3-021E-664D753944A1}"/>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5AB719-0298-48C9-A6B2-A76D7068AE1D}" type="TxLink">
              <a:rPr lang="en-US" sz="1100" b="1" i="0" u="none" strike="noStrike">
                <a:solidFill>
                  <a:srgbClr val="000000"/>
                </a:solidFill>
                <a:latin typeface="Aptos Narrow"/>
              </a:rPr>
              <a:pPr algn="ctr"/>
              <a:t>Attendance</a:t>
            </a:fld>
            <a:endParaRPr lang="en-US" sz="1100"/>
          </a:p>
        </xdr:txBody>
      </xdr:sp>
      <xdr:sp macro="" textlink="'PIVIOT TABLE'!D4">
        <xdr:nvSpPr>
          <xdr:cNvPr id="61" name="TextBox 60">
            <a:extLst>
              <a:ext uri="{FF2B5EF4-FFF2-40B4-BE49-F238E27FC236}">
                <a16:creationId xmlns:a16="http://schemas.microsoft.com/office/drawing/2014/main" id="{CFD7D3E8-928D-9244-D458-11859E6B22D1}"/>
              </a:ext>
            </a:extLst>
          </xdr:cNvPr>
          <xdr:cNvSpPr txBox="1"/>
        </xdr:nvSpPr>
        <xdr:spPr>
          <a:xfrm>
            <a:off x="3790950" y="790576"/>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42176B-778B-4A27-AB5D-8B64160151BA}" type="TxLink">
              <a:rPr lang="en-US" sz="1100" b="0" i="0" u="none" strike="noStrike">
                <a:solidFill>
                  <a:srgbClr val="000000"/>
                </a:solidFill>
                <a:latin typeface="Aptos Narrow"/>
              </a:rPr>
              <a:pPr algn="ctr"/>
              <a:t>104</a:t>
            </a:fld>
            <a:endParaRPr lang="en-US" sz="1100"/>
          </a:p>
        </xdr:txBody>
      </xdr:sp>
    </xdr:grpSp>
    <xdr:clientData/>
  </xdr:twoCellAnchor>
  <xdr:twoCellAnchor>
    <xdr:from>
      <xdr:col>16</xdr:col>
      <xdr:colOff>300078</xdr:colOff>
      <xdr:row>16</xdr:row>
      <xdr:rowOff>158368</xdr:rowOff>
    </xdr:from>
    <xdr:to>
      <xdr:col>18</xdr:col>
      <xdr:colOff>418460</xdr:colOff>
      <xdr:row>20</xdr:row>
      <xdr:rowOff>91694</xdr:rowOff>
    </xdr:to>
    <xdr:grpSp>
      <xdr:nvGrpSpPr>
        <xdr:cNvPr id="62" name="Group 61">
          <a:extLst>
            <a:ext uri="{FF2B5EF4-FFF2-40B4-BE49-F238E27FC236}">
              <a16:creationId xmlns:a16="http://schemas.microsoft.com/office/drawing/2014/main" id="{CE1BB75F-C7DA-4E36-BAE6-58743AAE057C}"/>
            </a:ext>
          </a:extLst>
        </xdr:cNvPr>
        <xdr:cNvGrpSpPr/>
      </xdr:nvGrpSpPr>
      <xdr:grpSpPr>
        <a:xfrm>
          <a:off x="9981960" y="3486515"/>
          <a:ext cx="1328618" cy="695326"/>
          <a:chOff x="3790950" y="381000"/>
          <a:chExt cx="1343025" cy="695326"/>
        </a:xfrm>
      </xdr:grpSpPr>
      <xdr:sp macro="" textlink="'PIVIOT TABLE'!G3:H3">
        <xdr:nvSpPr>
          <xdr:cNvPr id="63" name="TextBox 62">
            <a:extLst>
              <a:ext uri="{FF2B5EF4-FFF2-40B4-BE49-F238E27FC236}">
                <a16:creationId xmlns:a16="http://schemas.microsoft.com/office/drawing/2014/main" id="{D567695D-8BBE-82C1-0C27-8280546C8BE4}"/>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EB84F5-77F8-42C6-94F7-E1CCFA97396C}" type="TxLink">
              <a:rPr lang="en-US" sz="1100" b="1" i="0" u="none" strike="noStrike">
                <a:solidFill>
                  <a:srgbClr val="000000"/>
                </a:solidFill>
                <a:latin typeface="Aptos Narrow"/>
              </a:rPr>
              <a:pPr algn="ctr"/>
              <a:t>Days total attended</a:t>
            </a:fld>
            <a:endParaRPr lang="en-US" sz="1100"/>
          </a:p>
        </xdr:txBody>
      </xdr:sp>
      <xdr:sp macro="" textlink="'PIVIOT TABLE'!G5">
        <xdr:nvSpPr>
          <xdr:cNvPr id="64" name="TextBox 63">
            <a:extLst>
              <a:ext uri="{FF2B5EF4-FFF2-40B4-BE49-F238E27FC236}">
                <a16:creationId xmlns:a16="http://schemas.microsoft.com/office/drawing/2014/main" id="{858E0015-C5D1-B673-890A-A226976A322A}"/>
              </a:ext>
            </a:extLst>
          </xdr:cNvPr>
          <xdr:cNvSpPr txBox="1"/>
        </xdr:nvSpPr>
        <xdr:spPr>
          <a:xfrm>
            <a:off x="3790950" y="790576"/>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3C59AE-1F0B-4ECA-A9C3-101CBAAB56EC}" type="TxLink">
              <a:rPr lang="en-US" sz="1100" b="0" i="0" u="none" strike="noStrike">
                <a:solidFill>
                  <a:srgbClr val="000000"/>
                </a:solidFill>
                <a:latin typeface="Aptos Narrow"/>
              </a:rPr>
              <a:pPr algn="ctr"/>
              <a:t>20</a:t>
            </a:fld>
            <a:endParaRPr lang="en-US" sz="1100"/>
          </a:p>
        </xdr:txBody>
      </xdr:sp>
    </xdr:grpSp>
    <xdr:clientData/>
  </xdr:twoCellAnchor>
  <xdr:twoCellAnchor>
    <xdr:from>
      <xdr:col>18</xdr:col>
      <xdr:colOff>591270</xdr:colOff>
      <xdr:row>16</xdr:row>
      <xdr:rowOff>176058</xdr:rowOff>
    </xdr:from>
    <xdr:to>
      <xdr:col>21</xdr:col>
      <xdr:colOff>97331</xdr:colOff>
      <xdr:row>20</xdr:row>
      <xdr:rowOff>109384</xdr:rowOff>
    </xdr:to>
    <xdr:grpSp>
      <xdr:nvGrpSpPr>
        <xdr:cNvPr id="65" name="Group 64">
          <a:extLst>
            <a:ext uri="{FF2B5EF4-FFF2-40B4-BE49-F238E27FC236}">
              <a16:creationId xmlns:a16="http://schemas.microsoft.com/office/drawing/2014/main" id="{BE433C0E-49F4-42FB-9604-C707AB97F64F}"/>
            </a:ext>
          </a:extLst>
        </xdr:cNvPr>
        <xdr:cNvGrpSpPr/>
      </xdr:nvGrpSpPr>
      <xdr:grpSpPr>
        <a:xfrm>
          <a:off x="11483388" y="3504205"/>
          <a:ext cx="1321414" cy="695326"/>
          <a:chOff x="3790950" y="381000"/>
          <a:chExt cx="1343025" cy="695326"/>
        </a:xfrm>
      </xdr:grpSpPr>
      <xdr:sp macro="" textlink="'PIVIOT TABLE'!J3:K3">
        <xdr:nvSpPr>
          <xdr:cNvPr id="66" name="TextBox 65">
            <a:extLst>
              <a:ext uri="{FF2B5EF4-FFF2-40B4-BE49-F238E27FC236}">
                <a16:creationId xmlns:a16="http://schemas.microsoft.com/office/drawing/2014/main" id="{D89C3A89-7FE2-0CEF-4F84-024EE4F762D9}"/>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FCFF9D-B864-484F-9211-000D251C9266}" type="TxLink">
              <a:rPr lang="en-US" sz="1100" b="1" i="0" u="none" strike="noStrike">
                <a:solidFill>
                  <a:srgbClr val="000000"/>
                </a:solidFill>
                <a:latin typeface="Aptos Narrow"/>
              </a:rPr>
              <a:pPr algn="ctr"/>
              <a:t>Days attended</a:t>
            </a:fld>
            <a:endParaRPr lang="en-US" sz="1100"/>
          </a:p>
        </xdr:txBody>
      </xdr:sp>
      <xdr:sp macro="" textlink="'PIVIOT TABLE'!J5">
        <xdr:nvSpPr>
          <xdr:cNvPr id="67" name="TextBox 66">
            <a:extLst>
              <a:ext uri="{FF2B5EF4-FFF2-40B4-BE49-F238E27FC236}">
                <a16:creationId xmlns:a16="http://schemas.microsoft.com/office/drawing/2014/main" id="{07B7558E-3934-F21B-70C8-4B3B23C6D76D}"/>
              </a:ext>
            </a:extLst>
          </xdr:cNvPr>
          <xdr:cNvSpPr txBox="1"/>
        </xdr:nvSpPr>
        <xdr:spPr>
          <a:xfrm>
            <a:off x="3790950" y="790576"/>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E9DF1B-8665-4013-AD68-26FF1230DBDC}" type="TxLink">
              <a:rPr lang="en-US" sz="1100" b="0" i="0" u="none" strike="noStrike">
                <a:solidFill>
                  <a:srgbClr val="000000"/>
                </a:solidFill>
                <a:latin typeface="Aptos Narrow"/>
              </a:rPr>
              <a:pPr algn="ctr"/>
              <a:t>84</a:t>
            </a:fld>
            <a:endParaRPr lang="en-US" sz="1100"/>
          </a:p>
        </xdr:txBody>
      </xdr:sp>
    </xdr:grpSp>
    <xdr:clientData/>
  </xdr:twoCellAnchor>
  <xdr:twoCellAnchor>
    <xdr:from>
      <xdr:col>11</xdr:col>
      <xdr:colOff>304795</xdr:colOff>
      <xdr:row>16</xdr:row>
      <xdr:rowOff>144876</xdr:rowOff>
    </xdr:from>
    <xdr:to>
      <xdr:col>13</xdr:col>
      <xdr:colOff>448235</xdr:colOff>
      <xdr:row>20</xdr:row>
      <xdr:rowOff>108138</xdr:rowOff>
    </xdr:to>
    <xdr:grpSp>
      <xdr:nvGrpSpPr>
        <xdr:cNvPr id="68" name="Group 67">
          <a:extLst>
            <a:ext uri="{FF2B5EF4-FFF2-40B4-BE49-F238E27FC236}">
              <a16:creationId xmlns:a16="http://schemas.microsoft.com/office/drawing/2014/main" id="{2B169D3B-1B00-4DD3-9AA2-2D9260789E14}"/>
            </a:ext>
          </a:extLst>
        </xdr:cNvPr>
        <xdr:cNvGrpSpPr/>
      </xdr:nvGrpSpPr>
      <xdr:grpSpPr>
        <a:xfrm>
          <a:off x="6961089" y="3473023"/>
          <a:ext cx="1353675" cy="725262"/>
          <a:chOff x="3763710" y="190500"/>
          <a:chExt cx="1343187" cy="725262"/>
        </a:xfrm>
      </xdr:grpSpPr>
      <xdr:sp macro="" textlink="'PIVIOT TABLE'!AU20">
        <xdr:nvSpPr>
          <xdr:cNvPr id="69" name="TextBox 68">
            <a:extLst>
              <a:ext uri="{FF2B5EF4-FFF2-40B4-BE49-F238E27FC236}">
                <a16:creationId xmlns:a16="http://schemas.microsoft.com/office/drawing/2014/main" id="{4148C24B-B664-5CDC-8C29-1CB87420BE18}"/>
              </a:ext>
            </a:extLst>
          </xdr:cNvPr>
          <xdr:cNvSpPr txBox="1"/>
        </xdr:nvSpPr>
        <xdr:spPr>
          <a:xfrm>
            <a:off x="3763872" y="1905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26349CD-2B30-4A81-96B7-76F8504425A3}" type="TxLink">
              <a:rPr lang="en-US" sz="1100" b="1" i="0" u="none" strike="noStrike">
                <a:solidFill>
                  <a:srgbClr val="000000"/>
                </a:solidFill>
                <a:latin typeface="Aptos Narrow"/>
              </a:rPr>
              <a:pPr algn="ctr"/>
              <a:t>Salary</a:t>
            </a:fld>
            <a:endParaRPr lang="en-US" sz="1100" b="1"/>
          </a:p>
        </xdr:txBody>
      </xdr:sp>
      <xdr:sp macro="" textlink="'PIVIOT TABLE'!AV20">
        <xdr:nvSpPr>
          <xdr:cNvPr id="70" name="TextBox 69">
            <a:extLst>
              <a:ext uri="{FF2B5EF4-FFF2-40B4-BE49-F238E27FC236}">
                <a16:creationId xmlns:a16="http://schemas.microsoft.com/office/drawing/2014/main" id="{E8B680DD-AB29-1764-F824-D6D4FAC54096}"/>
              </a:ext>
            </a:extLst>
          </xdr:cNvPr>
          <xdr:cNvSpPr txBox="1"/>
        </xdr:nvSpPr>
        <xdr:spPr>
          <a:xfrm>
            <a:off x="3763710" y="630012"/>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2CA852-8AF7-4B81-95AD-92A773F7383E}" type="TxLink">
              <a:rPr lang="en-US" sz="1100" b="0" i="0" u="none" strike="noStrike">
                <a:solidFill>
                  <a:srgbClr val="000000"/>
                </a:solidFill>
                <a:latin typeface="Aptos Narrow"/>
              </a:rPr>
              <a:pPr algn="ctr"/>
              <a:t> $44,067 </a:t>
            </a:fld>
            <a:endParaRPr lang="en-US" sz="1100"/>
          </a:p>
        </xdr:txBody>
      </xdr:sp>
    </xdr:grpSp>
    <xdr:clientData/>
  </xdr:twoCellAnchor>
  <xdr:twoCellAnchor>
    <xdr:from>
      <xdr:col>7</xdr:col>
      <xdr:colOff>0</xdr:colOff>
      <xdr:row>1</xdr:row>
      <xdr:rowOff>27215</xdr:rowOff>
    </xdr:from>
    <xdr:to>
      <xdr:col>9</xdr:col>
      <xdr:colOff>223157</xdr:colOff>
      <xdr:row>3</xdr:row>
      <xdr:rowOff>36740</xdr:rowOff>
    </xdr:to>
    <xdr:grpSp>
      <xdr:nvGrpSpPr>
        <xdr:cNvPr id="71" name="Group 70">
          <a:hlinkClick xmlns:r="http://schemas.openxmlformats.org/officeDocument/2006/relationships" r:id="rId1"/>
          <a:extLst>
            <a:ext uri="{FF2B5EF4-FFF2-40B4-BE49-F238E27FC236}">
              <a16:creationId xmlns:a16="http://schemas.microsoft.com/office/drawing/2014/main" id="{844B6AD4-E115-4126-A689-8395267B3E8E}"/>
            </a:ext>
          </a:extLst>
        </xdr:cNvPr>
        <xdr:cNvGrpSpPr/>
      </xdr:nvGrpSpPr>
      <xdr:grpSpPr>
        <a:xfrm>
          <a:off x="4235824" y="217715"/>
          <a:ext cx="1433392" cy="390525"/>
          <a:chOff x="1971675" y="457200"/>
          <a:chExt cx="1447800" cy="390525"/>
        </a:xfrm>
      </xdr:grpSpPr>
      <xdr:sp macro="" textlink="">
        <xdr:nvSpPr>
          <xdr:cNvPr id="72" name="Rectangle: Rounded Corners 71">
            <a:extLst>
              <a:ext uri="{FF2B5EF4-FFF2-40B4-BE49-F238E27FC236}">
                <a16:creationId xmlns:a16="http://schemas.microsoft.com/office/drawing/2014/main" id="{28216607-2FCA-DA11-21AF-C910E54E2DCF}"/>
              </a:ext>
            </a:extLst>
          </xdr:cNvPr>
          <xdr:cNvSpPr/>
        </xdr:nvSpPr>
        <xdr:spPr>
          <a:xfrm>
            <a:off x="1971675" y="457200"/>
            <a:ext cx="1447800" cy="390525"/>
          </a:xfrm>
          <a:prstGeom prst="roundRect">
            <a:avLst/>
          </a:prstGeom>
          <a:solidFill>
            <a:schemeClr val="tx1">
              <a:lumMod val="95000"/>
              <a:lumOff val="5000"/>
            </a:schemeClr>
          </a:solidFill>
          <a:ln>
            <a:solidFill>
              <a:schemeClr val="tx2">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TextBox 72">
            <a:extLst>
              <a:ext uri="{FF2B5EF4-FFF2-40B4-BE49-F238E27FC236}">
                <a16:creationId xmlns:a16="http://schemas.microsoft.com/office/drawing/2014/main" id="{A7B15AA1-C473-4139-2EE5-38DE85C75009}"/>
              </a:ext>
            </a:extLst>
          </xdr:cNvPr>
          <xdr:cNvSpPr txBox="1"/>
        </xdr:nvSpPr>
        <xdr:spPr>
          <a:xfrm>
            <a:off x="2238375" y="523875"/>
            <a:ext cx="8667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DASHBORD</a:t>
            </a:r>
          </a:p>
        </xdr:txBody>
      </xdr:sp>
    </xdr:grpSp>
    <xdr:clientData/>
  </xdr:twoCellAnchor>
  <xdr:twoCellAnchor>
    <xdr:from>
      <xdr:col>11</xdr:col>
      <xdr:colOff>243607</xdr:colOff>
      <xdr:row>11</xdr:row>
      <xdr:rowOff>190500</xdr:rowOff>
    </xdr:from>
    <xdr:to>
      <xdr:col>21</xdr:col>
      <xdr:colOff>187577</xdr:colOff>
      <xdr:row>11</xdr:row>
      <xdr:rowOff>190500</xdr:rowOff>
    </xdr:to>
    <xdr:cxnSp macro="">
      <xdr:nvCxnSpPr>
        <xdr:cNvPr id="75" name="Straight Connector 74">
          <a:extLst>
            <a:ext uri="{FF2B5EF4-FFF2-40B4-BE49-F238E27FC236}">
              <a16:creationId xmlns:a16="http://schemas.microsoft.com/office/drawing/2014/main" id="{BCF9C3AF-6BB2-2B83-F5D1-7F1E4C87517E}"/>
            </a:ext>
          </a:extLst>
        </xdr:cNvPr>
        <xdr:cNvCxnSpPr/>
      </xdr:nvCxnSpPr>
      <xdr:spPr>
        <a:xfrm>
          <a:off x="6985650" y="2551043"/>
          <a:ext cx="6073101" cy="0"/>
        </a:xfrm>
        <a:prstGeom prst="line">
          <a:avLst/>
        </a:prstGeom>
        <a:ln>
          <a:solidFill>
            <a:srgbClr val="002060"/>
          </a:solidFill>
        </a:ln>
        <a:effectLst>
          <a:glow rad="63500">
            <a:schemeClr val="accent1">
              <a:satMod val="175000"/>
              <a:alpha val="40000"/>
            </a:schemeClr>
          </a:glo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230841</xdr:colOff>
      <xdr:row>16</xdr:row>
      <xdr:rowOff>85165</xdr:rowOff>
    </xdr:from>
    <xdr:to>
      <xdr:col>21</xdr:col>
      <xdr:colOff>174811</xdr:colOff>
      <xdr:row>16</xdr:row>
      <xdr:rowOff>85165</xdr:rowOff>
    </xdr:to>
    <xdr:cxnSp macro="">
      <xdr:nvCxnSpPr>
        <xdr:cNvPr id="76" name="Straight Connector 75">
          <a:extLst>
            <a:ext uri="{FF2B5EF4-FFF2-40B4-BE49-F238E27FC236}">
              <a16:creationId xmlns:a16="http://schemas.microsoft.com/office/drawing/2014/main" id="{E27473C1-4D8E-4420-A92D-9E2E2F5B9D8B}"/>
            </a:ext>
          </a:extLst>
        </xdr:cNvPr>
        <xdr:cNvCxnSpPr/>
      </xdr:nvCxnSpPr>
      <xdr:spPr>
        <a:xfrm>
          <a:off x="6887135" y="3402106"/>
          <a:ext cx="5995147" cy="0"/>
        </a:xfrm>
        <a:prstGeom prst="line">
          <a:avLst/>
        </a:prstGeom>
        <a:ln>
          <a:solidFill>
            <a:srgbClr val="002060"/>
          </a:solidFill>
        </a:ln>
        <a:effectLst>
          <a:glow rad="63500">
            <a:schemeClr val="accent1">
              <a:satMod val="175000"/>
              <a:alpha val="40000"/>
            </a:schemeClr>
          </a:glo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226359</xdr:colOff>
      <xdr:row>21</xdr:row>
      <xdr:rowOff>47065</xdr:rowOff>
    </xdr:from>
    <xdr:to>
      <xdr:col>21</xdr:col>
      <xdr:colOff>170329</xdr:colOff>
      <xdr:row>21</xdr:row>
      <xdr:rowOff>47065</xdr:rowOff>
    </xdr:to>
    <xdr:cxnSp macro="">
      <xdr:nvCxnSpPr>
        <xdr:cNvPr id="77" name="Straight Connector 76">
          <a:extLst>
            <a:ext uri="{FF2B5EF4-FFF2-40B4-BE49-F238E27FC236}">
              <a16:creationId xmlns:a16="http://schemas.microsoft.com/office/drawing/2014/main" id="{19D9ACE9-3619-4F66-82AB-C12857221075}"/>
            </a:ext>
          </a:extLst>
        </xdr:cNvPr>
        <xdr:cNvCxnSpPr/>
      </xdr:nvCxnSpPr>
      <xdr:spPr>
        <a:xfrm>
          <a:off x="6882653" y="4316506"/>
          <a:ext cx="5995147" cy="0"/>
        </a:xfrm>
        <a:prstGeom prst="line">
          <a:avLst/>
        </a:prstGeom>
        <a:ln>
          <a:solidFill>
            <a:srgbClr val="002060"/>
          </a:solidFill>
        </a:ln>
        <a:effectLst>
          <a:glow rad="63500">
            <a:schemeClr val="accent1">
              <a:satMod val="175000"/>
              <a:alpha val="40000"/>
            </a:schemeClr>
          </a:glo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223436</xdr:colOff>
      <xdr:row>25</xdr:row>
      <xdr:rowOff>133789</xdr:rowOff>
    </xdr:from>
    <xdr:to>
      <xdr:col>21</xdr:col>
      <xdr:colOff>167406</xdr:colOff>
      <xdr:row>25</xdr:row>
      <xdr:rowOff>133789</xdr:rowOff>
    </xdr:to>
    <xdr:cxnSp macro="">
      <xdr:nvCxnSpPr>
        <xdr:cNvPr id="78" name="Straight Connector 77">
          <a:extLst>
            <a:ext uri="{FF2B5EF4-FFF2-40B4-BE49-F238E27FC236}">
              <a16:creationId xmlns:a16="http://schemas.microsoft.com/office/drawing/2014/main" id="{E2144643-B830-47A4-966E-AC6DFAC2ADDE}"/>
            </a:ext>
          </a:extLst>
        </xdr:cNvPr>
        <xdr:cNvCxnSpPr/>
      </xdr:nvCxnSpPr>
      <xdr:spPr>
        <a:xfrm>
          <a:off x="6965479" y="5161332"/>
          <a:ext cx="6073101" cy="0"/>
        </a:xfrm>
        <a:prstGeom prst="line">
          <a:avLst/>
        </a:prstGeom>
        <a:ln>
          <a:solidFill>
            <a:srgbClr val="002060"/>
          </a:solidFill>
        </a:ln>
        <a:effectLst>
          <a:glow rad="63500">
            <a:schemeClr val="accent1">
              <a:satMod val="175000"/>
              <a:alpha val="40000"/>
            </a:schemeClr>
          </a:glo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230355</xdr:colOff>
      <xdr:row>7</xdr:row>
      <xdr:rowOff>119270</xdr:rowOff>
    </xdr:from>
    <xdr:to>
      <xdr:col>21</xdr:col>
      <xdr:colOff>174325</xdr:colOff>
      <xdr:row>7</xdr:row>
      <xdr:rowOff>119270</xdr:rowOff>
    </xdr:to>
    <xdr:cxnSp macro="">
      <xdr:nvCxnSpPr>
        <xdr:cNvPr id="79" name="Straight Connector 78">
          <a:extLst>
            <a:ext uri="{FF2B5EF4-FFF2-40B4-BE49-F238E27FC236}">
              <a16:creationId xmlns:a16="http://schemas.microsoft.com/office/drawing/2014/main" id="{63ABBECC-7088-4AD8-B431-4F0DC01C4C23}"/>
            </a:ext>
          </a:extLst>
        </xdr:cNvPr>
        <xdr:cNvCxnSpPr/>
      </xdr:nvCxnSpPr>
      <xdr:spPr>
        <a:xfrm>
          <a:off x="6972398" y="1717813"/>
          <a:ext cx="6073101" cy="0"/>
        </a:xfrm>
        <a:prstGeom prst="line">
          <a:avLst/>
        </a:prstGeom>
        <a:ln>
          <a:solidFill>
            <a:srgbClr val="002060"/>
          </a:solidFill>
        </a:ln>
        <a:effectLst>
          <a:glow rad="63500">
            <a:schemeClr val="accent1">
              <a:satMod val="175000"/>
              <a:alpha val="40000"/>
            </a:schemeClr>
          </a:glow>
        </a:effectLst>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180975</xdr:colOff>
          <xdr:row>5</xdr:row>
          <xdr:rowOff>314325</xdr:rowOff>
        </xdr:from>
        <xdr:to>
          <xdr:col>25</xdr:col>
          <xdr:colOff>504825</xdr:colOff>
          <xdr:row>8</xdr:row>
          <xdr:rowOff>47625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Button 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1018761</xdr:colOff>
      <xdr:row>10</xdr:row>
      <xdr:rowOff>99391</xdr:rowOff>
    </xdr:from>
    <xdr:to>
      <xdr:col>2</xdr:col>
      <xdr:colOff>588646</xdr:colOff>
      <xdr:row>12</xdr:row>
      <xdr:rowOff>84151</xdr:rowOff>
    </xdr:to>
    <xdr:sp macro="" textlink="">
      <xdr:nvSpPr>
        <xdr:cNvPr id="3" name="Rounded Rectangle 1">
          <a:extLst>
            <a:ext uri="{FF2B5EF4-FFF2-40B4-BE49-F238E27FC236}">
              <a16:creationId xmlns:a16="http://schemas.microsoft.com/office/drawing/2014/main" id="{DF87CB7C-94ED-40C6-85BD-708F4F5EA7C1}"/>
            </a:ext>
          </a:extLst>
        </xdr:cNvPr>
        <xdr:cNvSpPr/>
      </xdr:nvSpPr>
      <xdr:spPr>
        <a:xfrm>
          <a:off x="2816087" y="3031434"/>
          <a:ext cx="1541146" cy="365760"/>
        </a:xfrm>
        <a:prstGeom prst="roundRect">
          <a:avLst>
            <a:gd name="adj" fmla="val 50000"/>
          </a:avLst>
        </a:prstGeom>
        <a:solidFill>
          <a:schemeClr val="bg1">
            <a:lumMod val="6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tx1"/>
              </a:solidFill>
            </a:rPr>
            <a:t>Click</a:t>
          </a:r>
          <a:r>
            <a:rPr lang="en-US" sz="1100" b="1" baseline="0">
              <a:solidFill>
                <a:schemeClr val="tx1"/>
              </a:solidFill>
            </a:rPr>
            <a:t> to send mails</a:t>
          </a:r>
          <a:endParaRPr lang="en-US" sz="1100" b="1">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235322</xdr:colOff>
      <xdr:row>1</xdr:row>
      <xdr:rowOff>280146</xdr:rowOff>
    </xdr:from>
    <xdr:to>
      <xdr:col>1</xdr:col>
      <xdr:colOff>1683122</xdr:colOff>
      <xdr:row>3</xdr:row>
      <xdr:rowOff>20730</xdr:rowOff>
    </xdr:to>
    <xdr:grpSp>
      <xdr:nvGrpSpPr>
        <xdr:cNvPr id="2" name="Group 1">
          <a:hlinkClick xmlns:r="http://schemas.openxmlformats.org/officeDocument/2006/relationships" r:id="rId1"/>
          <a:extLst>
            <a:ext uri="{FF2B5EF4-FFF2-40B4-BE49-F238E27FC236}">
              <a16:creationId xmlns:a16="http://schemas.microsoft.com/office/drawing/2014/main" id="{277A1690-8432-4AD7-BDC3-9DC42D2D291A}"/>
            </a:ext>
          </a:extLst>
        </xdr:cNvPr>
        <xdr:cNvGrpSpPr/>
      </xdr:nvGrpSpPr>
      <xdr:grpSpPr>
        <a:xfrm>
          <a:off x="844922" y="470646"/>
          <a:ext cx="1447800" cy="388284"/>
          <a:chOff x="1971675" y="457200"/>
          <a:chExt cx="1447800" cy="390525"/>
        </a:xfrm>
      </xdr:grpSpPr>
      <xdr:sp macro="" textlink="">
        <xdr:nvSpPr>
          <xdr:cNvPr id="3" name="Rectangle: Rounded Corners 2">
            <a:extLst>
              <a:ext uri="{FF2B5EF4-FFF2-40B4-BE49-F238E27FC236}">
                <a16:creationId xmlns:a16="http://schemas.microsoft.com/office/drawing/2014/main" id="{85B9CC1F-E6B8-47E0-8194-27D6B9EE3DC3}"/>
              </a:ext>
            </a:extLst>
          </xdr:cNvPr>
          <xdr:cNvSpPr/>
        </xdr:nvSpPr>
        <xdr:spPr>
          <a:xfrm>
            <a:off x="1971675" y="457200"/>
            <a:ext cx="1447800" cy="390525"/>
          </a:xfrm>
          <a:prstGeom prst="roundRect">
            <a:avLst/>
          </a:prstGeom>
          <a:solidFill>
            <a:schemeClr val="tx1">
              <a:lumMod val="95000"/>
              <a:lumOff val="5000"/>
            </a:schemeClr>
          </a:solidFill>
          <a:ln>
            <a:solidFill>
              <a:schemeClr val="tx2">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extLst>
              <a:ext uri="{FF2B5EF4-FFF2-40B4-BE49-F238E27FC236}">
                <a16:creationId xmlns:a16="http://schemas.microsoft.com/office/drawing/2014/main" id="{B2EABDA0-8776-4A49-C052-84B26D26F751}"/>
              </a:ext>
            </a:extLst>
          </xdr:cNvPr>
          <xdr:cNvSpPr txBox="1"/>
        </xdr:nvSpPr>
        <xdr:spPr>
          <a:xfrm>
            <a:off x="2238375" y="523875"/>
            <a:ext cx="8667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DASHBORD</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47</xdr:col>
      <xdr:colOff>981314</xdr:colOff>
      <xdr:row>21</xdr:row>
      <xdr:rowOff>166007</xdr:rowOff>
    </xdr:from>
    <xdr:to>
      <xdr:col>53</xdr:col>
      <xdr:colOff>304959</xdr:colOff>
      <xdr:row>36</xdr:row>
      <xdr:rowOff>51707</xdr:rowOff>
    </xdr:to>
    <xdr:graphicFrame macro="">
      <xdr:nvGraphicFramePr>
        <xdr:cNvPr id="2" name="Chart 1">
          <a:extLst>
            <a:ext uri="{FF2B5EF4-FFF2-40B4-BE49-F238E27FC236}">
              <a16:creationId xmlns:a16="http://schemas.microsoft.com/office/drawing/2014/main" id="{C53023C1-1145-0CAB-9222-5EE87D87CE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33618</xdr:colOff>
      <xdr:row>13</xdr:row>
      <xdr:rowOff>44822</xdr:rowOff>
    </xdr:from>
    <xdr:to>
      <xdr:col>19</xdr:col>
      <xdr:colOff>394448</xdr:colOff>
      <xdr:row>27</xdr:row>
      <xdr:rowOff>44822</xdr:rowOff>
    </xdr:to>
    <mc:AlternateContent xmlns:mc="http://schemas.openxmlformats.org/markup-compatibility/2006" xmlns:a14="http://schemas.microsoft.com/office/drawing/2010/main">
      <mc:Choice Requires="a14">
        <xdr:graphicFrame macro="">
          <xdr:nvGraphicFramePr>
            <xdr:cNvPr id="4" name="Employee Name 1">
              <a:extLst>
                <a:ext uri="{FF2B5EF4-FFF2-40B4-BE49-F238E27FC236}">
                  <a16:creationId xmlns:a16="http://schemas.microsoft.com/office/drawing/2014/main" id="{710AB1CF-8C6B-48BB-B773-FA534AE5A032}"/>
                </a:ext>
              </a:extLst>
            </xdr:cNvPr>
            <xdr:cNvGraphicFramePr/>
          </xdr:nvGraphicFramePr>
          <xdr:xfrm>
            <a:off x="0" y="0"/>
            <a:ext cx="0" cy="0"/>
          </xdr:xfrm>
          <a:graphic>
            <a:graphicData uri="http://schemas.microsoft.com/office/drawing/2010/slicer">
              <sle:slicer xmlns:sle="http://schemas.microsoft.com/office/drawing/2010/slicer" name="Employee Name 1"/>
            </a:graphicData>
          </a:graphic>
        </xdr:graphicFrame>
      </mc:Choice>
      <mc:Fallback xmlns="">
        <xdr:sp macro="" textlink="">
          <xdr:nvSpPr>
            <xdr:cNvPr id="0" name=""/>
            <xdr:cNvSpPr>
              <a:spLocks noTextEdit="1"/>
            </xdr:cNvSpPr>
          </xdr:nvSpPr>
          <xdr:spPr>
            <a:xfrm>
              <a:off x="12248030" y="2521322"/>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119903</xdr:colOff>
      <xdr:row>12</xdr:row>
      <xdr:rowOff>85164</xdr:rowOff>
    </xdr:from>
    <xdr:to>
      <xdr:col>27</xdr:col>
      <xdr:colOff>406614</xdr:colOff>
      <xdr:row>23</xdr:row>
      <xdr:rowOff>18489</xdr:rowOff>
    </xdr:to>
    <mc:AlternateContent xmlns:mc="http://schemas.openxmlformats.org/markup-compatibility/2006" xmlns:a14="http://schemas.microsoft.com/office/drawing/2010/main">
      <mc:Choice Requires="a14">
        <xdr:graphicFrame macro="">
          <xdr:nvGraphicFramePr>
            <xdr:cNvPr id="6" name="Employee Name">
              <a:extLst>
                <a:ext uri="{FF2B5EF4-FFF2-40B4-BE49-F238E27FC236}">
                  <a16:creationId xmlns:a16="http://schemas.microsoft.com/office/drawing/2014/main" id="{EF012FB3-3E2A-9C6F-EB0C-F901EA8BF0E5}"/>
                </a:ext>
              </a:extLst>
            </xdr:cNvPr>
            <xdr:cNvGraphicFramePr/>
          </xdr:nvGraphicFramePr>
          <xdr:xfrm>
            <a:off x="0" y="0"/>
            <a:ext cx="0" cy="0"/>
          </xdr:xfrm>
          <a:graphic>
            <a:graphicData uri="http://schemas.microsoft.com/office/drawing/2010/slicer">
              <sle:slicer xmlns:sle="http://schemas.microsoft.com/office/drawing/2010/slicer" name="Employee Name"/>
            </a:graphicData>
          </a:graphic>
        </xdr:graphicFrame>
      </mc:Choice>
      <mc:Fallback xmlns="">
        <xdr:sp macro="" textlink="">
          <xdr:nvSpPr>
            <xdr:cNvPr id="0" name=""/>
            <xdr:cNvSpPr>
              <a:spLocks noTextEdit="1"/>
            </xdr:cNvSpPr>
          </xdr:nvSpPr>
          <xdr:spPr>
            <a:xfrm>
              <a:off x="18475138" y="2371164"/>
              <a:ext cx="1821917" cy="2028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it" refreshedDate="45820.436182291669" createdVersion="8" refreshedVersion="8" minRefreshableVersion="3" recordCount="906" xr:uid="{49039F97-B841-40D3-A887-CCAC4D396029}">
  <cacheSource type="worksheet">
    <worksheetSource name="Table4"/>
  </cacheSource>
  <cacheFields count="17">
    <cacheField name="Employee Name" numFmtId="0">
      <sharedItems count="7">
        <s v="Ali Charle"/>
        <s v="Charles Ricky"/>
        <s v="Hossam Khild"/>
        <s v="Joseph Mike"/>
        <s v="Richard Jeo"/>
        <s v="Thomas Joey"/>
        <s v="Ali Charlie" u="1"/>
      </sharedItems>
    </cacheField>
    <cacheField name="Date" numFmtId="15">
      <sharedItems containsSemiMixedTypes="0" containsNonDate="0" containsDate="1" containsString="0" minDate="2025-01-01T00:00:00" maxDate="2025-06-01T00:00:00" count="151">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d v="2025-04-24T00:00:00"/>
        <d v="2025-04-25T00:00:00"/>
        <d v="2025-04-26T00:00:00"/>
        <d v="2025-04-27T00:00:00"/>
        <d v="2025-04-28T00:00:00"/>
        <d v="2025-04-29T00:00:00"/>
        <d v="2025-04-30T00:00:00"/>
        <d v="2025-05-01T00:00:00"/>
        <d v="2025-05-02T00:00:00"/>
        <d v="2025-05-03T00:00:00"/>
        <d v="2025-05-04T00:00:00"/>
        <d v="2025-05-05T00:00:00"/>
        <d v="2025-05-06T00:00:00"/>
        <d v="2025-05-07T00:00:00"/>
        <d v="2025-05-08T00:00:00"/>
        <d v="2025-05-09T00:00:00"/>
        <d v="2025-05-10T00:00:00"/>
        <d v="2025-05-11T00:00:00"/>
        <d v="2025-05-12T00:00:00"/>
        <d v="2025-05-13T00:00:00"/>
        <d v="2025-05-14T00:00:00"/>
        <d v="2025-05-15T00:00:00"/>
        <d v="2025-05-16T00:00:00"/>
        <d v="2025-05-17T00:00:00"/>
        <d v="2025-05-18T00:00:00"/>
        <d v="2025-05-19T00:00:00"/>
        <d v="2025-05-20T00:00:00"/>
        <d v="2025-05-21T00:00:00"/>
        <d v="2025-05-22T00:00:00"/>
        <d v="2025-05-23T00:00:00"/>
        <d v="2025-05-24T00:00:00"/>
        <d v="2025-05-25T00:00:00"/>
        <d v="2025-05-26T00:00:00"/>
        <d v="2025-05-27T00:00:00"/>
        <d v="2025-05-28T00:00:00"/>
        <d v="2025-05-29T00:00:00"/>
        <d v="2025-05-30T00:00:00"/>
        <d v="2025-05-31T00:00:00"/>
      </sharedItems>
      <fieldGroup par="10"/>
    </cacheField>
    <cacheField name="Day" numFmtId="0">
      <sharedItems/>
    </cacheField>
    <cacheField name="Time In" numFmtId="18">
      <sharedItems containsNonDate="0" containsDate="1" containsString="0" containsBlank="1" minDate="1899-12-30T07:00:00" maxDate="1899-12-30T14:16:00" count="281">
        <d v="1899-12-30T10:14:00"/>
        <d v="1899-12-30T11:56:00"/>
        <m/>
        <d v="1899-12-30T11:33:00"/>
        <d v="1899-12-30T07:13:00"/>
        <d v="1899-12-30T11:47:00"/>
        <d v="1899-12-30T09:49:00"/>
        <d v="1899-12-30T14:16:00"/>
        <d v="1899-12-30T10:26:00"/>
        <d v="1899-12-30T11:13:00"/>
        <d v="1899-12-30T10:22:00"/>
        <d v="1899-12-30T10:55:00"/>
        <d v="1899-12-30T09:02:00"/>
        <d v="1899-12-30T11:22:00"/>
        <d v="1899-12-30T09:58:00"/>
        <d v="1899-12-30T08:57:00"/>
        <d v="1899-12-30T09:33:00"/>
        <d v="1899-12-30T08:31:00"/>
        <d v="1899-12-30T08:39:00"/>
        <d v="1899-12-30T09:50:00"/>
        <d v="1899-12-30T08:44:00"/>
        <d v="1899-12-30T09:18:00"/>
        <d v="1899-12-30T09:10:00"/>
        <d v="1899-12-30T11:05:00"/>
        <d v="1899-12-30T07:39:00"/>
        <d v="1899-12-30T10:40:00"/>
        <d v="1899-12-30T08:15:00"/>
        <d v="1899-12-30T08:16:00"/>
        <d v="1899-12-30T08:47:00"/>
        <d v="1899-12-30T08:40:00"/>
        <d v="1899-12-30T08:10:00"/>
        <d v="1899-12-30T09:37:00"/>
        <d v="1899-12-30T10:51:00"/>
        <d v="1899-12-30T10:57:00"/>
        <d v="1899-12-30T08:35:00"/>
        <d v="1899-12-30T10:04:00"/>
        <d v="1899-12-30T10:30:00"/>
        <d v="1899-12-30T10:47:00"/>
        <d v="1899-12-30T10:59:00"/>
        <d v="1899-12-30T08:04:00"/>
        <d v="1899-12-30T08:24:00"/>
        <d v="1899-12-30T07:10:00"/>
        <d v="1899-12-30T10:35:00"/>
        <d v="1899-12-30T10:08:00"/>
        <d v="1899-12-30T10:10:00"/>
        <d v="1899-12-30T09:05:00"/>
        <d v="1899-12-30T10:20:00"/>
        <d v="1899-12-30T08:22:00"/>
        <d v="1899-12-30T08:26:00"/>
        <d v="1899-12-30T07:42:00"/>
        <d v="1899-12-30T09:52:00"/>
        <d v="1899-12-30T08:54:00"/>
        <d v="1899-12-30T10:24:00"/>
        <d v="1899-12-30T08:01:00"/>
        <d v="1899-12-30T07:57:00"/>
        <d v="1899-12-30T07:51:00"/>
        <d v="1899-12-30T07:40:00"/>
        <d v="1899-12-30T07:12:00"/>
        <d v="1899-12-30T08:34:00"/>
        <d v="1899-12-30T09:11:00"/>
        <d v="1899-12-30T07:18:00"/>
        <d v="1899-12-30T10:45:00"/>
        <d v="1899-12-30T11:03:00"/>
        <d v="1899-12-30T07:00:00"/>
        <d v="1899-12-30T08:21:00"/>
        <d v="1899-12-30T11:59:00"/>
        <d v="1899-12-30T07:52:00"/>
        <d v="1899-12-30T10:31:00"/>
        <d v="1899-12-30T07:37:00"/>
        <d v="1899-12-30T10:17:00"/>
        <d v="1899-12-30T10:43:00"/>
        <d v="1899-12-30T10:27:00"/>
        <d v="1899-12-30T08:14:00"/>
        <d v="1899-12-30T10:28:00"/>
        <d v="1899-12-30T07:34:00"/>
        <d v="1899-12-30T09:22:00"/>
        <d v="1899-12-30T08:00:00"/>
        <d v="1899-12-30T09:40:00"/>
        <d v="1899-12-30T11:11:00"/>
        <d v="1899-12-30T07:54:00"/>
        <d v="1899-12-30T11:04:00"/>
        <d v="1899-12-30T09:56:00"/>
        <d v="1899-12-30T07:33:00"/>
        <d v="1899-12-30T11:08:00"/>
        <d v="1899-12-30T11:54:00"/>
        <d v="1899-12-30T07:01:00"/>
        <d v="1899-12-30T09:19:00"/>
        <d v="1899-12-30T10:39:00"/>
        <d v="1899-12-30T11:27:00"/>
        <d v="1899-12-30T08:19:00"/>
        <d v="1899-12-30T11:07:00"/>
        <d v="1899-12-30T09:57:00"/>
        <d v="1899-12-30T09:45:00"/>
        <d v="1899-12-30T11:28:00"/>
        <d v="1899-12-30T09:32:00"/>
        <d v="1899-12-30T10:01:00"/>
        <d v="1899-12-30T09:36:00"/>
        <d v="1899-12-30T09:43:00"/>
        <d v="1899-12-30T11:12:00"/>
        <d v="1899-12-30T11:19:00"/>
        <d v="1899-12-30T07:30:00"/>
        <d v="1899-12-30T09:21:00"/>
        <d v="1899-12-30T07:44:00"/>
        <d v="1899-12-30T11:46:00"/>
        <d v="1899-12-30T08:13:00"/>
        <d v="1899-12-30T11:40:00"/>
        <d v="1899-12-30T11:10:00"/>
        <d v="1899-12-30T11:39:00"/>
        <d v="1899-12-30T10:03:00"/>
        <d v="1899-12-30T11:38:00"/>
        <d v="1899-12-30T11:18:00"/>
        <d v="1899-12-30T10:25:00"/>
        <d v="1899-12-30T09:07:00"/>
        <d v="1899-12-30T11:30:00"/>
        <d v="1899-12-30T07:21:00"/>
        <d v="1899-12-30T08:33:00"/>
        <d v="1899-12-30T09:28:00"/>
        <d v="1899-12-30T11:01:00"/>
        <d v="1899-12-30T10:12:00"/>
        <d v="1899-12-30T07:22:00"/>
        <d v="1899-12-30T10:21:00"/>
        <d v="1899-12-30T07:29:00"/>
        <d v="1899-12-30T07:32:00"/>
        <d v="1899-12-30T09:08:00"/>
        <d v="1899-12-30T07:36:00"/>
        <d v="1899-12-30T07:14:00"/>
        <d v="1899-12-30T10:56:00"/>
        <d v="1899-12-30T08:08:00"/>
        <d v="1899-12-30T10:11:00"/>
        <d v="1899-12-30T11:34:00"/>
        <d v="1899-12-30T10:49:00"/>
        <d v="1899-12-30T11:45:00"/>
        <d v="1899-12-30T09:51:00"/>
        <d v="1899-12-30T08:17:00"/>
        <d v="1899-12-30T11:06:00"/>
        <d v="1899-12-30T10:18:00"/>
        <d v="1899-12-30T07:28:00"/>
        <d v="1899-12-30T09:41:00"/>
        <d v="1899-12-30T11:26:00"/>
        <d v="1899-12-30T10:41:00"/>
        <d v="1899-12-30T10:53:00"/>
        <d v="1899-12-30T09:04:00"/>
        <d v="1899-12-30T07:17:00"/>
        <d v="1899-12-30T08:18:00"/>
        <d v="1899-12-30T10:54:00"/>
        <d v="1899-12-30T11:02:00"/>
        <d v="1899-12-30T10:42:00"/>
        <d v="1899-12-30T10:58:00"/>
        <d v="1899-12-30T07:45:00"/>
        <d v="1899-12-30T07:58:00"/>
        <d v="1899-12-30T11:58:00"/>
        <d v="1899-12-30T10:13:00"/>
        <d v="1899-12-30T08:51:00"/>
        <d v="1899-12-30T10:07:00"/>
        <d v="1899-12-30T08:42:00"/>
        <d v="1899-12-30T10:16:00"/>
        <d v="1899-12-30T11:09:00"/>
        <d v="1899-12-30T08:12:00"/>
        <d v="1899-12-30T08:02:00"/>
        <d v="1899-12-30T11:55:00"/>
        <d v="1899-12-30T11:49:00"/>
        <d v="1899-12-30T08:09:00"/>
        <d v="1899-12-30T08:36:00"/>
        <d v="1899-12-30T09:30:00"/>
        <d v="1899-12-30T07:46:00"/>
        <d v="1899-12-30T11:25:00"/>
        <d v="1899-12-30T07:25:00"/>
        <d v="1899-12-30T07:27:00"/>
        <d v="1899-12-30T09:48:00"/>
        <d v="1899-12-30T10:37:00"/>
        <d v="1899-12-30T08:56:00"/>
        <d v="1899-12-30T09:42:00"/>
        <d v="1899-12-30T07:38:00"/>
        <d v="1899-12-30T07:20:00"/>
        <d v="1899-12-30T11:50:00"/>
        <d v="1899-12-30T10:29:00"/>
        <d v="1899-12-30T10:52:00"/>
        <d v="1899-12-30T07:43:00"/>
        <d v="1899-12-30T08:58:00"/>
        <d v="1899-12-30T07:56:00"/>
        <d v="1899-12-30T07:49:00"/>
        <d v="1899-12-30T08:03:00"/>
        <d v="1899-12-30T10:23:00"/>
        <d v="1899-12-30T11:37:00"/>
        <d v="1899-12-30T09:25:00"/>
        <d v="1899-12-30T10:34:00"/>
        <d v="1899-12-30T10:48:00"/>
        <d v="1899-12-30T11:57:00"/>
        <d v="1899-12-30T09:29:00"/>
        <d v="1899-12-30T11:53:00"/>
        <d v="1899-12-30T08:29:00"/>
        <d v="1899-12-30T07:16:00"/>
        <d v="1899-12-30T08:38:00"/>
        <d v="1899-12-30T09:53:00"/>
        <d v="1899-12-30T11:42:00"/>
        <d v="1899-12-30T07:04:00"/>
        <d v="1899-12-30T08:25:00"/>
        <d v="1899-12-30T08:23:00"/>
        <d v="1899-12-30T10:05:00"/>
        <d v="1899-12-30T10:09:00"/>
        <d v="1899-12-30T07:02:00"/>
        <d v="1899-12-30T11:00:00"/>
        <d v="1899-12-30T11:44:00"/>
        <d v="1899-12-30T09:09:00"/>
        <d v="1899-12-30T09:20:00"/>
        <d v="1899-12-30T11:24:00"/>
        <d v="1899-12-30T10:46:00"/>
        <d v="1899-12-30T07:41:00"/>
        <d v="1899-12-30T10:33:00"/>
        <d v="1899-12-30T11:14:00"/>
        <d v="1899-12-30T09:31:00"/>
        <d v="1899-12-30T10:50:00"/>
        <d v="1899-12-30T08:50:00"/>
        <d v="1899-12-30T11:15:00"/>
        <d v="1899-12-30T09:06:00"/>
        <d v="1899-12-30T10:36:00"/>
        <d v="1899-12-30T11:23:00"/>
        <d v="1899-12-30T11:29:00"/>
        <d v="1899-12-30T09:46:00"/>
        <d v="1899-12-30T09:59:00"/>
        <d v="1899-12-30T10:38:00"/>
        <d v="1899-12-30T09:15:00"/>
        <d v="1899-12-30T07:48:00"/>
        <d v="1899-12-30T08:27:00"/>
        <d v="1899-12-30T08:43:00"/>
        <d v="1899-12-30T08:05:00"/>
        <d v="1899-12-30T08:48:00"/>
        <d v="1899-12-30T09:38:00"/>
        <d v="1899-12-30T10:32:00"/>
        <d v="1899-12-30T09:55:00"/>
        <d v="1899-12-30T08:45:00"/>
        <d v="1899-12-30T07:05:00"/>
        <d v="1899-12-30T10:44:00"/>
        <d v="1899-12-30T08:30:00"/>
        <d v="1899-12-30T10:15:00"/>
        <d v="1899-12-30T10:19:00"/>
        <d v="1899-12-30T09:39:00"/>
        <d v="1899-12-30T07:03:00"/>
        <d v="1899-12-30T07:55:00"/>
        <d v="1899-12-30T09:27:00"/>
        <d v="1899-12-30T09:24:00"/>
        <d v="1899-12-30T08:06:00"/>
        <d v="1899-12-30T09:26:00"/>
        <d v="1899-12-30T08:46:00"/>
        <d v="1899-12-30T08:49:00"/>
        <d v="1899-12-30T08:32:00"/>
        <d v="1899-12-30T07:59:00"/>
        <d v="1899-12-30T11:48:00"/>
        <d v="1899-12-30T08:37:00"/>
        <d v="1899-12-30T07:53:00"/>
        <d v="1899-12-30T08:41:00"/>
        <d v="1899-12-30T07:31:00"/>
        <d v="1899-12-30T08:28:00"/>
        <d v="1899-12-30T07:15:00"/>
        <d v="1899-12-30T09:35:00" u="1"/>
        <d v="1899-12-30T08:11:00" u="1"/>
        <d v="1899-12-30T11:20:00" u="1"/>
        <d v="1899-12-30T07:35:00" u="1"/>
        <d v="1899-12-30T07:08:00" u="1"/>
        <d v="1899-12-30T09:34:00" u="1"/>
        <d v="1899-12-30T11:41:00" u="1"/>
        <d v="1899-12-30T07:26:00" u="1"/>
        <d v="1899-12-30T09:54:00" u="1"/>
        <d v="1899-12-30T11:16:00" u="1"/>
        <d v="1899-12-30T07:23:00" u="1"/>
        <d v="1899-12-30T09:47:00" u="1"/>
        <d v="1899-12-30T09:00:00" u="1"/>
        <d v="1899-12-30T09:03:00" u="1"/>
        <d v="1899-12-30T11:21:00" u="1"/>
        <d v="1899-12-30T08:20:00" u="1"/>
        <d v="1899-12-30T11:32:00" u="1"/>
        <d v="1899-12-30T07:47:00" u="1"/>
        <d v="1899-12-30T07:11:00" u="1"/>
        <d v="1899-12-30T09:01:00" u="1"/>
        <d v="1899-12-30T09:16:00" u="1"/>
        <d v="1899-12-30T11:17:00" u="1"/>
        <d v="1899-12-30T08:59:00" u="1"/>
        <d v="1899-12-30T11:31:00" u="1"/>
        <d v="1899-12-30T11:35:00" u="1"/>
        <d v="1899-12-30T09:17:00" u="1"/>
        <d v="1899-12-30T07:07:00" u="1"/>
      </sharedItems>
      <fieldGroup par="12"/>
    </cacheField>
    <cacheField name="Time Out" numFmtId="0">
      <sharedItems containsNonDate="0" containsDate="1" containsString="0" containsBlank="1" minDate="1899-12-30T16:15:00" maxDate="1899-12-30T23:59:00"/>
    </cacheField>
    <cacheField name="Delay" numFmtId="20">
      <sharedItems containsSemiMixedTypes="0" containsNonDate="0" containsDate="1" containsString="0" minDate="1899-12-30T00:00:00" maxDate="1899-12-30T06:16:00" count="225">
        <d v="1899-12-30T02:14:00"/>
        <d v="1899-12-30T03:56:00"/>
        <d v="1899-12-30T00:00:00"/>
        <d v="1899-12-30T03:33:00"/>
        <d v="1899-12-30T03:47:00"/>
        <d v="1899-12-30T01:49:00"/>
        <d v="1899-12-30T06:16:00"/>
        <d v="1899-12-30T02:26:00"/>
        <d v="1899-12-30T03:13:00"/>
        <d v="1899-12-30T02:22:00"/>
        <d v="1899-12-30T02:55:00"/>
        <d v="1899-12-30T01:02:00"/>
        <d v="1899-12-30T03:22:00"/>
        <d v="1899-12-30T01:58:00"/>
        <d v="1899-12-30T00:57:00"/>
        <d v="1899-12-30T01:33:00"/>
        <d v="1899-12-30T00:31:00"/>
        <d v="1899-12-30T00:39:00"/>
        <d v="1899-12-30T01:50:00"/>
        <d v="1899-12-30T00:44:00"/>
        <d v="1899-12-30T01:18:00"/>
        <d v="1899-12-30T01:10:00"/>
        <d v="1899-12-30T03:05:00"/>
        <d v="1899-12-30T02:40:00"/>
        <d v="1899-12-30T00:15:00"/>
        <d v="1899-12-30T00:16:00"/>
        <d v="1899-12-30T00:47:00"/>
        <d v="1899-12-30T00:40:00"/>
        <d v="1899-12-30T00:10:00"/>
        <d v="1899-12-30T01:37:00"/>
        <d v="1899-12-30T02:51:00"/>
        <d v="1899-12-30T02:57:00"/>
        <d v="1899-12-30T00:35:00"/>
        <d v="1899-12-30T02:04:00"/>
        <d v="1899-12-30T02:30:00"/>
        <d v="1899-12-30T02:47:00"/>
        <d v="1899-12-30T02:59:00"/>
        <d v="1899-12-30T00:04:00"/>
        <d v="1899-12-30T00:24:00"/>
        <d v="1899-12-30T02:35:00"/>
        <d v="1899-12-30T02:08:00"/>
        <d v="1899-12-30T02:10:00"/>
        <d v="1899-12-30T01:05:00"/>
        <d v="1899-12-30T02:20:00"/>
        <d v="1899-12-30T00:22:00"/>
        <d v="1899-12-30T00:26:00"/>
        <d v="1899-12-30T01:52:00"/>
        <d v="1899-12-30T00:54:00"/>
        <d v="1899-12-30T02:24:00"/>
        <d v="1899-12-30T00:01:00"/>
        <d v="1899-12-30T00:34:00"/>
        <d v="1899-12-30T01:11:00"/>
        <d v="1899-12-30T02:45:00"/>
        <d v="1899-12-30T03:03:00"/>
        <d v="1899-12-30T00:21:00"/>
        <d v="1899-12-30T03:59:00"/>
        <d v="1899-12-30T02:31:00"/>
        <d v="1899-12-30T02:17:00"/>
        <d v="1899-12-30T02:43:00"/>
        <d v="1899-12-30T02:27:00"/>
        <d v="1899-12-30T00:14:00"/>
        <d v="1899-12-30T02:28:00"/>
        <d v="1899-12-30T01:22:00"/>
        <d v="1899-12-30T01:40:00"/>
        <d v="1899-12-30T03:11:00"/>
        <d v="1899-12-30T03:04:00"/>
        <d v="1899-12-30T01:56:00"/>
        <d v="1899-12-30T03:08:00"/>
        <d v="1899-12-30T03:54:00"/>
        <d v="1899-12-30T01:19:00"/>
        <d v="1899-12-30T02:39:00"/>
        <d v="1899-12-30T03:27:00"/>
        <d v="1899-12-30T00:19:00"/>
        <d v="1899-12-30T03:07:00"/>
        <d v="1899-12-30T01:57:00"/>
        <d v="1899-12-30T01:45:00"/>
        <d v="1899-12-30T03:28:00"/>
        <d v="1899-12-30T01:32:00"/>
        <d v="1899-12-30T02:01:00"/>
        <d v="1899-12-30T01:36:00"/>
        <d v="1899-12-30T01:43:00"/>
        <d v="1899-12-30T03:12:00"/>
        <d v="1899-12-30T03:19:00"/>
        <d v="1899-12-30T01:21:00"/>
        <d v="1899-12-30T03:46:00"/>
        <d v="1899-12-30T00:13:00"/>
        <d v="1899-12-30T03:40:00"/>
        <d v="1899-12-30T03:10:00"/>
        <d v="1899-12-30T03:39:00"/>
        <d v="1899-12-30T02:03:00"/>
        <d v="1899-12-30T03:38:00"/>
        <d v="1899-12-30T03:18:00"/>
        <d v="1899-12-30T02:25:00"/>
        <d v="1899-12-30T01:07:00"/>
        <d v="1899-12-30T03:30:00"/>
        <d v="1899-12-30T00:33:00"/>
        <d v="1899-12-30T01:28:00"/>
        <d v="1899-12-30T03:01:00"/>
        <d v="1899-12-30T02:12:00"/>
        <d v="1899-12-30T02:21:00"/>
        <d v="1899-12-30T01:08:00"/>
        <d v="1899-12-30T02:56:00"/>
        <d v="1899-12-30T00:08:00"/>
        <d v="1899-12-30T02:11:00"/>
        <d v="1899-12-30T03:34:00"/>
        <d v="1899-12-30T02:49:00"/>
        <d v="1899-12-30T03:45:00"/>
        <d v="1899-12-30T01:51:00"/>
        <d v="1899-12-30T00:17:00"/>
        <d v="1899-12-30T03:06:00"/>
        <d v="1899-12-30T02:18:00"/>
        <d v="1899-12-30T01:41:00"/>
        <d v="1899-12-30T03:26:00"/>
        <d v="1899-12-30T02:41:00"/>
        <d v="1899-12-30T02:53:00"/>
        <d v="1899-12-30T01:04:00"/>
        <d v="1899-12-30T00:18:00"/>
        <d v="1899-12-30T02:54:00"/>
        <d v="1899-12-30T03:02:00"/>
        <d v="1899-12-30T02:42:00"/>
        <d v="1899-12-30T02:58:00"/>
        <d v="1899-12-30T03:58:00"/>
        <d v="1899-12-30T02:13:00"/>
        <d v="1899-12-30T00:51:00"/>
        <d v="1899-12-30T02:07:00"/>
        <d v="1899-12-30T00:42:00"/>
        <d v="1899-12-30T02:16:00"/>
        <d v="1899-12-30T03:09:00"/>
        <d v="1899-12-30T00:12:00"/>
        <d v="1899-12-30T00:02:00"/>
        <d v="1899-12-30T03:55:00"/>
        <d v="1899-12-30T03:49:00"/>
        <d v="1899-12-30T00:09:00"/>
        <d v="1899-12-30T00:36:00"/>
        <d v="1899-12-30T01:30:00"/>
        <d v="1899-12-30T03:25:00"/>
        <d v="1899-12-30T01:48:00"/>
        <d v="1899-12-30T02:37:00"/>
        <d v="1899-12-30T00:56:00"/>
        <d v="1899-12-30T01:42:00"/>
        <d v="1899-12-30T03:50:00"/>
        <d v="1899-12-30T02:29:00"/>
        <d v="1899-12-30T02:52:00"/>
        <d v="1899-12-30T00:58:00"/>
        <d v="1899-12-30T00:03:00"/>
        <d v="1899-12-30T02:23:00"/>
        <d v="1899-12-30T03:37:00"/>
        <d v="1899-12-30T01:25:00"/>
        <d v="1899-12-30T02:34:00"/>
        <d v="1899-12-30T02:48:00"/>
        <d v="1899-12-30T03:57:00"/>
        <d v="1899-12-30T01:29:00"/>
        <d v="1899-12-30T03:53:00"/>
        <d v="1899-12-30T00:29:00"/>
        <d v="1899-12-30T00:38:00"/>
        <d v="1899-12-30T01:53:00"/>
        <d v="1899-12-30T03:42:00"/>
        <d v="1899-12-30T00:25:00"/>
        <d v="1899-12-30T00:23:00"/>
        <d v="1899-12-30T02:05:00"/>
        <d v="1899-12-30T02:09:00"/>
        <d v="1899-12-30T03:00:00"/>
        <d v="1899-12-30T03:44:00"/>
        <d v="1899-12-30T01:09:00"/>
        <d v="1899-12-30T01:20:00"/>
        <d v="1899-12-30T03:24:00"/>
        <d v="1899-12-30T02:46:00"/>
        <d v="1899-12-30T02:33:00"/>
        <d v="1899-12-30T03:14:00"/>
        <d v="1899-12-30T01:31:00"/>
        <d v="1899-12-30T02:50:00"/>
        <d v="1899-12-30T00:50:00"/>
        <d v="1899-12-30T03:15:00"/>
        <d v="1899-12-30T01:06:00"/>
        <d v="1899-12-30T02:36:00"/>
        <d v="1899-12-30T03:23:00"/>
        <d v="1899-12-30T03:29:00"/>
        <d v="1899-12-30T01:46:00"/>
        <d v="1899-12-30T01:59:00"/>
        <d v="1899-12-30T02:38:00"/>
        <d v="1899-12-30T01:15:00"/>
        <d v="1899-12-30T00:27:00"/>
        <d v="1899-12-30T00:43:00"/>
        <d v="1899-12-30T00:05:00"/>
        <d v="1899-12-30T00:48:00"/>
        <d v="1899-12-30T01:38:00"/>
        <d v="1899-12-30T02:32:00"/>
        <d v="1899-12-30T01:55:00"/>
        <d v="1899-12-30T00:45:00"/>
        <d v="1899-12-30T02:44:00"/>
        <d v="1899-12-30T00:30:00"/>
        <d v="1899-12-30T02:15:00"/>
        <d v="1899-12-30T02:19:00"/>
        <d v="1899-12-30T01:39:00"/>
        <d v="1899-12-30T01:27:00"/>
        <d v="1899-12-30T01:24:00"/>
        <d v="1899-12-30T00:06:00"/>
        <d v="1899-12-30T01:26:00"/>
        <d v="1899-12-30T00:46:00"/>
        <d v="1899-12-30T00:49:00"/>
        <d v="1899-12-30T00:32:00"/>
        <d v="1899-12-30T03:48:00"/>
        <d v="1899-12-30T00:37:00"/>
        <d v="1899-12-30T00:41:00"/>
        <d v="1899-12-30T00:28:00"/>
        <d v="1899-12-30T01:35:00" u="1"/>
        <d v="1899-12-30T00:11:00" u="1"/>
        <d v="1899-12-30T03:20:00" u="1"/>
        <d v="1899-12-30T01:34:00" u="1"/>
        <d v="1899-12-30T03:41:00" u="1"/>
        <d v="1899-12-30T01:54:00" u="1"/>
        <d v="1899-12-30T03:16:00" u="1"/>
        <d v="1899-12-30T01:47:00" u="1"/>
        <d v="1899-12-30T01:00:00" u="1"/>
        <d v="1899-12-30T01:03:00" u="1"/>
        <d v="1899-12-30T03:21:00" u="1"/>
        <d v="1899-12-30T00:20:00" u="1"/>
        <d v="1899-12-30T03:32:00" u="1"/>
        <d v="1899-12-30T01:01:00" u="1"/>
        <d v="1899-12-30T01:16:00" u="1"/>
        <d v="1899-12-30T03:17:00" u="1"/>
        <d v="1899-12-30T00:59:00" u="1"/>
        <d v="1899-12-30T03:31:00" u="1"/>
        <d v="1899-12-30T03:35:00" u="1"/>
        <d v="1899-12-30T01:17:00" u="1"/>
      </sharedItems>
      <fieldGroup par="14"/>
    </cacheField>
    <cacheField name="Working Hours" numFmtId="20">
      <sharedItems containsSemiMixedTypes="0" containsNonDate="0" containsDate="1" containsString="0" minDate="1899-12-30T00:00:00" maxDate="1899-12-30T16:53:00" count="337">
        <d v="1899-12-30T09:20:00"/>
        <d v="1899-12-30T10:44:00"/>
        <d v="1899-12-30T00:00:00"/>
        <d v="1899-12-30T08:15:00"/>
        <d v="1899-12-30T09:02:00"/>
        <d v="1899-12-30T05:42:00"/>
        <d v="1899-12-30T09:56:00"/>
        <d v="1899-12-30T07:43:00"/>
        <d v="1899-12-30T09:54:00"/>
        <d v="1899-12-30T12:47:00"/>
        <d v="1899-12-30T09:09:00"/>
        <d v="1899-12-30T11:50:00"/>
        <d v="1899-12-30T10:23:00"/>
        <d v="1899-12-30T13:42:00"/>
        <d v="1899-12-30T10:53:00"/>
        <d v="1899-12-30T11:26:00"/>
        <d v="1899-12-30T14:42:00"/>
        <d v="1899-12-30T13:55:00"/>
        <d v="1899-12-30T13:44:00"/>
        <d v="1899-12-30T14:05:00"/>
        <d v="1899-12-30T10:37:00"/>
        <d v="1899-12-30T14:36:00"/>
        <d v="1899-12-30T12:18:00"/>
        <d v="1899-12-30T13:29:00"/>
        <d v="1899-12-30T12:33:00"/>
        <d v="1899-12-30T15:00:00"/>
        <d v="1899-12-30T12:35:00"/>
        <d v="1899-12-30T14:31:00"/>
        <d v="1899-12-30T13:40:00"/>
        <d v="1899-12-30T13:28:00"/>
        <d v="1899-12-30T10:48:00"/>
        <d v="1899-12-30T12:38:00"/>
        <d v="1899-12-30T09:24:00"/>
        <d v="1899-12-30T13:11:00"/>
        <d v="1899-12-30T11:49:00"/>
        <d v="1899-12-30T10:08:00"/>
        <d v="1899-12-30T14:22:00"/>
        <d v="1899-12-30T11:38:00"/>
        <d v="1899-12-30T14:34:00"/>
        <d v="1899-12-30T15:33:00"/>
        <d v="1899-12-30T16:49:00"/>
        <d v="1899-12-30T13:23:00"/>
        <d v="1899-12-30T14:41:00"/>
        <d v="1899-12-30T13:39:00"/>
        <d v="1899-12-30T12:46:00"/>
        <d v="1899-12-30T13:30:00"/>
        <d v="1899-12-30T11:20:00"/>
        <d v="1899-12-30T12:16:00"/>
        <d v="1899-12-30T11:56:00"/>
        <d v="1899-12-30T12:02:00"/>
        <d v="1899-12-30T15:13:00"/>
        <d v="1899-12-30T12:32:00"/>
        <d v="1899-12-30T13:26:00"/>
        <d v="1899-12-30T12:34:00"/>
        <d v="1899-12-30T15:54:00"/>
        <d v="1899-12-30T15:56:00"/>
        <d v="1899-12-30T14:12:00"/>
        <d v="1899-12-30T11:23:00"/>
        <d v="1899-12-30T13:31:00"/>
        <d v="1899-12-30T12:07:00"/>
        <d v="1899-12-30T13:15:00"/>
        <d v="1899-12-30T11:05:00"/>
        <d v="1899-12-30T15:08:00"/>
        <d v="1899-12-30T12:39:00"/>
        <d v="1899-12-30T10:40:00"/>
        <d v="1899-12-30T10:41:00"/>
        <d v="1899-12-30T16:53:00"/>
        <d v="1899-12-30T14:55:00"/>
        <d v="1899-12-30T11:32:00"/>
        <d v="1899-12-30T12:42:00"/>
        <d v="1899-12-30T12:04:00"/>
        <d v="1899-12-30T13:51:00"/>
        <d v="1899-12-30T12:01:00"/>
        <d v="1899-12-30T12:08:00"/>
        <d v="1899-12-30T11:36:00"/>
        <d v="1899-12-30T11:57:00"/>
        <d v="1899-12-30T15:16:00"/>
        <d v="1899-12-30T14:50:00"/>
        <d v="1899-12-30T14:25:00"/>
        <d v="1899-12-30T12:15:00"/>
        <d v="1899-12-30T15:49:00"/>
        <d v="1899-12-30T11:10:00"/>
        <d v="1899-12-30T10:17:00"/>
        <d v="1899-12-30T09:37:00"/>
        <d v="1899-12-30T12:58:00"/>
        <d v="1899-12-30T12:51:00"/>
        <d v="1899-12-30T14:15:00"/>
        <d v="1899-12-30T14:04:00"/>
        <d v="1899-12-30T13:01:00"/>
        <d v="1899-12-30T15:15:00"/>
        <d v="1899-12-30T10:38:00"/>
        <d v="1899-12-30T12:57:00"/>
        <d v="1899-12-30T10:32:00"/>
        <d v="1899-12-30T08:25:00"/>
        <d v="1899-12-30T15:11:00"/>
        <d v="1899-12-30T13:38:00"/>
        <d v="1899-12-30T12:21:00"/>
        <d v="1899-12-30T13:10:00"/>
        <d v="1899-12-30T09:49:00"/>
        <d v="1899-12-30T15:39:00"/>
        <d v="1899-12-30T13:37:00"/>
        <d v="1899-12-30T12:23:00"/>
        <d v="1899-12-30T09:29:00"/>
        <d v="1899-12-30T14:21:00"/>
        <d v="1899-12-30T14:03:00"/>
        <d v="1899-12-30T11:17:00"/>
        <d v="1899-12-30T10:49:00"/>
        <d v="1899-12-30T13:49:00"/>
        <d v="1899-12-30T10:06:00"/>
        <d v="1899-12-30T09:23:00"/>
        <d v="1899-12-30T10:11:00"/>
        <d v="1899-12-30T13:21:00"/>
        <d v="1899-12-30T10:27:00"/>
        <d v="1899-12-30T15:41:00"/>
        <d v="1899-12-30T11:42:00"/>
        <d v="1899-12-30T12:11:00"/>
        <d v="1899-12-30T11:39:00"/>
        <d v="1899-12-30T09:40:00"/>
        <d v="1899-12-30T12:48:00"/>
        <d v="1899-12-30T09:39:00"/>
        <d v="1899-12-30T10:54:00"/>
        <d v="1899-12-30T10:43:00"/>
        <d v="1899-12-30T09:51:00"/>
        <d v="1899-12-30T09:26:00"/>
        <d v="1899-12-30T11:51:00"/>
        <d v="1899-12-30T14:37:00"/>
        <d v="1899-12-30T10:29:00"/>
        <d v="1899-12-30T12:40:00"/>
        <d v="1899-12-30T16:08:00"/>
        <d v="1899-12-30T13:13:00"/>
        <d v="1899-12-30T13:14:00"/>
        <d v="1899-12-30T13:18:00"/>
        <d v="1899-12-30T11:29:00"/>
        <d v="1899-12-30T14:49:00"/>
        <d v="1899-12-30T15:07:00"/>
        <d v="1899-12-30T12:26:00"/>
        <d v="1899-12-30T16:13:00"/>
        <d v="1899-12-30T16:12:00"/>
        <d v="1899-12-30T14:38:00"/>
        <d v="1899-12-30T13:09:00"/>
        <d v="1899-12-30T09:48:00"/>
        <d v="1899-12-30T12:03:00"/>
        <d v="1899-12-30T12:28:00"/>
        <d v="1899-12-30T11:48:00"/>
        <d v="1899-12-30T11:13:00"/>
        <d v="1899-12-30T14:13:00"/>
        <d v="1899-12-30T12:12:00"/>
        <d v="1899-12-30T10:52:00"/>
        <d v="1899-12-30T10:24:00"/>
        <d v="1899-12-30T15:03:00"/>
        <d v="1899-12-30T12:17:00"/>
        <d v="1899-12-30T10:30:00"/>
        <d v="1899-12-30T09:59:00"/>
        <d v="1899-12-30T13:17:00"/>
        <d v="1899-12-30T09:22:00"/>
        <d v="1899-12-30T12:22:00"/>
        <d v="1899-12-30T10:13:00"/>
        <d v="1899-12-30T15:26:00"/>
        <d v="1899-12-30T13:54:00"/>
        <d v="1899-12-30T13:41:00"/>
        <d v="1899-12-30T13:27:00"/>
        <d v="1899-12-30T10:59:00"/>
        <d v="1899-12-30T09:53:00"/>
        <d v="1899-12-30T12:06:00"/>
        <d v="1899-12-30T09:41:00"/>
        <d v="1899-12-30T13:00:00"/>
        <d v="1899-12-30T12:05:00"/>
        <d v="1899-12-30T13:06:00"/>
        <d v="1899-12-30T13:02:00"/>
        <d v="1899-12-30T16:06:00"/>
        <d v="1899-12-30T15:14:00"/>
        <d v="1899-12-30T10:01:00"/>
        <d v="1899-12-30T11:59:00"/>
        <d v="1899-12-30T11:24:00"/>
        <d v="1899-12-30T08:54:00"/>
        <d v="1899-12-30T09:11:00"/>
        <d v="1899-12-30T11:06:00"/>
        <d v="1899-12-30T14:26:00"/>
        <d v="1899-12-30T12:37:00"/>
        <d v="1899-12-30T11:19:00"/>
        <d v="1899-12-30T10:42:00"/>
        <d v="1899-12-30T11:54:00"/>
        <d v="1899-12-30T11:21:00"/>
        <d v="1899-12-30T09:03:00"/>
        <d v="1899-12-30T12:10:00"/>
        <d v="1899-12-30T10:14:00"/>
        <d v="1899-12-30T08:23:00"/>
        <d v="1899-12-30T12:30:00"/>
        <d v="1899-12-30T13:19:00"/>
        <d v="1899-12-30T12:14:00"/>
        <d v="1899-12-30T11:16:00"/>
        <d v="1899-12-30T13:12:00"/>
        <d v="1899-12-30T10:21:00"/>
        <d v="1899-12-30T15:52:00"/>
        <d v="1899-12-30T08:39:00"/>
        <d v="1899-12-30T14:43:00"/>
        <d v="1899-12-30T11:52:00"/>
        <d v="1899-12-30T11:00:00"/>
        <d v="1899-12-30T15:17:00"/>
        <d v="1899-12-30T12:41:00"/>
        <d v="1899-12-30T14:07:00"/>
        <d v="1899-12-30T10:20:00"/>
        <d v="1899-12-30T14:06:00"/>
        <d v="1899-12-30T16:35:00"/>
        <d v="1899-12-30T10:36:00"/>
        <d v="1899-12-30T12:20:00"/>
        <d v="1899-12-30T13:46:00"/>
        <d v="1899-12-30T14:23:00"/>
        <d v="1899-12-30T11:40:00"/>
        <d v="1899-12-30T10:28:00"/>
        <d v="1899-12-30T15:06:00"/>
        <d v="1899-12-30T13:25:00"/>
        <d v="1899-12-30T14:30:00"/>
        <d v="1899-12-30T11:58:00"/>
        <d v="1899-12-30T12:52:00"/>
        <d v="1899-12-30T13:08:00"/>
        <d v="1899-12-30T14:24:00"/>
        <d v="1899-12-30T09:43:00"/>
        <d v="1899-12-30T12:24:00"/>
        <d v="1899-12-30T10:07:00"/>
        <d v="1899-12-30T08:59:00"/>
        <d v="1899-12-30T15:46:00"/>
        <d v="1899-12-30T12:59:00"/>
        <d v="1899-12-30T11:33:00"/>
        <d v="1899-12-30T14:00:00"/>
        <d v="1899-12-30T14:57:00"/>
        <d v="1899-12-30T11:01:00"/>
        <d v="1899-12-30T13:16:00"/>
        <d v="1899-12-30T11:46:00"/>
        <d v="1899-12-30T09:06:00"/>
        <d v="1899-12-30T12:19:00"/>
        <d v="1899-12-30T16:15:00"/>
        <d v="1899-12-30T11:12:00"/>
        <d v="1899-12-30T13:56:00"/>
        <d v="1899-12-30T10:04:00"/>
        <d v="1899-12-30T09:04:00"/>
        <d v="1899-12-30T13:24:00"/>
        <d v="1899-12-30T14:09:00"/>
        <d v="1899-12-30T09:28:00"/>
        <d v="1899-12-30T13:50:00"/>
        <d v="1899-12-30T14:14:00"/>
        <d v="1899-12-30T15:43:00"/>
        <d v="1899-12-30T11:41:00"/>
        <d v="1899-12-30T16:25:00"/>
        <d v="1899-12-30T09:50:00"/>
        <d v="1899-12-30T10:57:00"/>
        <d v="1899-12-30T09:55:00"/>
        <d v="1899-12-30T14:10:00"/>
        <d v="1899-12-30T09:21:00"/>
        <d v="1899-12-30T12:43:00"/>
        <d v="1899-12-30T11:27:00"/>
        <d v="1899-12-30T11:09:00"/>
        <d v="1899-12-30T13:03:00"/>
        <d v="1899-12-30T12:25:00"/>
        <d v="1899-12-30T13:57:00"/>
        <d v="1899-12-30T10:51:00"/>
        <d v="1899-12-30T14:53:00"/>
        <d v="1899-12-30T11:22:00"/>
        <d v="1899-12-30T11:04:00"/>
        <d v="1899-12-30T09:46:00"/>
        <d v="1899-12-30T14:35:00"/>
        <d v="1899-12-30T10:09:00"/>
        <d v="1899-12-30T12:49:00"/>
        <d v="1899-12-30T15:18:00"/>
        <d v="1899-12-30T15:04:00"/>
        <d v="1899-12-30T13:33:00"/>
        <d v="1899-12-30T11:03:00"/>
        <d v="1899-12-30T10:19:00"/>
        <d v="1899-12-30T09:57:00"/>
        <d v="1899-12-30T14:20:00"/>
        <d v="1899-12-30T12:00:00"/>
        <d v="1899-12-30T11:11:00"/>
        <d v="1899-12-30T10:16:00"/>
        <d v="1899-12-30T16:04:00"/>
        <d v="1899-12-30T12:45:00"/>
        <d v="1899-12-30T14:29:00"/>
        <d v="1899-12-30T13:20:00"/>
        <d v="1899-12-30T15:55:00"/>
        <d v="1899-12-30T11:25:00"/>
        <d v="1899-12-30T14:02:00"/>
        <d v="1899-12-30T09:58:00"/>
        <d v="1899-12-30T12:54:00"/>
        <d v="1899-12-30T12:53:00"/>
        <d v="1899-12-30T14:40:00"/>
        <d v="1899-12-30T14:16:00"/>
        <d v="1899-12-30T15:51:00"/>
        <d v="1899-12-30T10:47:00"/>
        <d v="1899-12-30T13:04:00"/>
        <d v="1899-12-30T11:08:00"/>
        <d v="1899-12-30T14:11:00"/>
        <d v="1899-12-30T11:02:00"/>
        <d v="1899-12-30T09:45:00"/>
        <d v="1899-12-30T16:00:00"/>
        <d v="1899-12-30T08:52:00"/>
        <d v="1899-12-30T12:31:00"/>
        <d v="1899-12-30T10:02:00"/>
        <d v="1899-12-30T16:52:00"/>
        <d v="1899-12-30T12:09:00"/>
        <d v="1899-12-30T15:38:00"/>
        <d v="1899-12-30T09:30:00"/>
        <d v="1899-12-30T09:44:00"/>
        <d v="1899-12-30T15:05:00"/>
        <d v="1899-12-30T13:45:00"/>
        <d v="1899-12-30T13:22:00"/>
        <d v="1899-12-30T13:52:00"/>
        <d v="1899-12-30T10:05:00"/>
        <d v="1899-12-30T12:55:00"/>
        <d v="1899-12-30T10:56:00"/>
        <d v="1899-12-30T15:36:00"/>
        <d v="1899-12-30T11:35:00"/>
        <d v="1899-12-30T10:25:00"/>
        <d v="1899-12-30T10:00:00"/>
        <d v="1899-12-30T10:35:00"/>
        <d v="1899-12-30T14:19:00"/>
        <d v="1899-12-30T14:33:00"/>
        <d v="1899-12-30T11:53:00"/>
        <d v="1899-12-30T16:34:00"/>
        <d v="1899-12-30T10:45:00"/>
        <d v="1899-12-30T08:34:00"/>
        <d v="1899-12-30T11:43:00"/>
        <d v="1899-12-30T13:35:00"/>
        <d v="1899-12-30T10:12:00"/>
        <d v="1899-12-30T15:28:00"/>
        <d v="1899-12-30T15:09:00"/>
        <d v="1899-12-30T14:59:00"/>
        <d v="1899-12-30T14:52:00"/>
        <d v="1899-12-30T15:44:00"/>
        <d v="1899-12-30T14:48:00"/>
        <d v="1899-12-30T15:34:00"/>
        <d v="1899-12-30T09:13:00"/>
        <d v="1899-12-30T10:31:00"/>
        <d v="1899-12-30T15:29:00"/>
        <d v="1899-12-30T08:46:00"/>
        <d v="1899-12-30T08:44:00"/>
        <d v="1899-12-30T16:11:00"/>
        <d v="1899-12-30T16:46:00" u="1"/>
        <d v="1899-12-30T10:46:00" u="1"/>
      </sharedItems>
      <fieldGroup par="16"/>
    </cacheField>
    <cacheField name="Short" numFmtId="164">
      <sharedItems containsSemiMixedTypes="0" containsNonDate="0" containsDate="1" containsString="0" minDate="1899-12-30T00:00:00" maxDate="1899-12-31T00:00:00"/>
    </cacheField>
    <cacheField name="Note" numFmtId="0">
      <sharedItems count="7">
        <s v=" "/>
        <s v="DAY OFF"/>
        <s v="ABSENT"/>
        <s v="Makar Sankranti / Pongal"/>
        <s v="NATIONAL DAY OF INDIA"/>
        <s v="Holi"/>
        <s v="MAHARASTRA DAY"/>
      </sharedItems>
    </cacheField>
    <cacheField name="Days (Date)" numFmtId="0" databaseField="0">
      <fieldGroup base="1">
        <rangePr groupBy="days" startDate="2025-01-01T00:00:00" endDate="2025-06-01T00:00:00"/>
        <groupItems count="368">
          <s v="&lt;01-01-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Date)" numFmtId="0" databaseField="0">
      <fieldGroup base="1">
        <rangePr groupBy="months" startDate="2025-01-01T00:00:00" endDate="2025-06-01T00:00:00"/>
        <groupItems count="14">
          <s v="&lt;01-01-25"/>
          <s v="Jan"/>
          <s v="Feb"/>
          <s v="Mar"/>
          <s v="Apr"/>
          <s v="May"/>
          <s v="Jun"/>
          <s v="Jul"/>
          <s v="Aug"/>
          <s v="Sep"/>
          <s v="Oct"/>
          <s v="Nov"/>
          <s v="Dec"/>
          <s v="&gt;01-06-25"/>
        </groupItems>
      </fieldGroup>
    </cacheField>
    <cacheField name="Minutes (Time In)" numFmtId="0" databaseField="0">
      <fieldGroup base="3">
        <rangePr groupBy="minutes" startDate="1899-12-30T07:00:00" endDate="1899-12-30T14:16:00"/>
        <groupItems count="62">
          <s v="&lt;00-01-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00"/>
        </groupItems>
      </fieldGroup>
    </cacheField>
    <cacheField name="Hours (Time In)" numFmtId="0" databaseField="0">
      <fieldGroup base="3">
        <rangePr groupBy="hours" startDate="1899-12-30T07:00:00" endDate="1899-12-30T14:16:00"/>
        <groupItems count="26">
          <s v="&lt;00-01-00"/>
          <s v="12 AM"/>
          <s v="1 AM"/>
          <s v="2 AM"/>
          <s v="3 AM"/>
          <s v="4 AM"/>
          <s v="5 AM"/>
          <s v="6 AM"/>
          <s v="7 AM"/>
          <s v="8 AM"/>
          <s v="9 AM"/>
          <s v="10 AM"/>
          <s v="11 AM"/>
          <s v="12 PM"/>
          <s v="1 PM"/>
          <s v="2 PM"/>
          <s v="3 PM"/>
          <s v="4 PM"/>
          <s v="5 PM"/>
          <s v="6 PM"/>
          <s v="7 PM"/>
          <s v="8 PM"/>
          <s v="9 PM"/>
          <s v="10 PM"/>
          <s v="11 PM"/>
          <s v="&gt;00-01-00"/>
        </groupItems>
      </fieldGroup>
    </cacheField>
    <cacheField name="Minutes (Delay)" numFmtId="0" databaseField="0">
      <fieldGroup base="5">
        <rangePr groupBy="minutes" startDate="1899-12-30T00:00:00" endDate="1899-12-30T06:16:00"/>
        <groupItems count="62">
          <s v="&lt;00-01-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00"/>
        </groupItems>
      </fieldGroup>
    </cacheField>
    <cacheField name="Hours (Delay)" numFmtId="0" databaseField="0">
      <fieldGroup base="5">
        <rangePr groupBy="hours" startDate="1899-12-30T00:00:00" endDate="1899-12-30T06:16:00"/>
        <groupItems count="26">
          <s v="&lt;00-01-00"/>
          <s v="12 AM"/>
          <s v="1 AM"/>
          <s v="2 AM"/>
          <s v="3 AM"/>
          <s v="4 AM"/>
          <s v="5 AM"/>
          <s v="6 AM"/>
          <s v="7 AM"/>
          <s v="8 AM"/>
          <s v="9 AM"/>
          <s v="10 AM"/>
          <s v="11 AM"/>
          <s v="12 PM"/>
          <s v="1 PM"/>
          <s v="2 PM"/>
          <s v="3 PM"/>
          <s v="4 PM"/>
          <s v="5 PM"/>
          <s v="6 PM"/>
          <s v="7 PM"/>
          <s v="8 PM"/>
          <s v="9 PM"/>
          <s v="10 PM"/>
          <s v="11 PM"/>
          <s v="&gt;00-01-00"/>
        </groupItems>
      </fieldGroup>
    </cacheField>
    <cacheField name="Minutes (Working Hours)" numFmtId="0" databaseField="0">
      <fieldGroup base="6">
        <rangePr groupBy="minutes" startDate="1899-12-30T00:00:00" endDate="1899-12-30T16:53:00"/>
        <groupItems count="62">
          <s v="&lt;00-01-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00"/>
        </groupItems>
      </fieldGroup>
    </cacheField>
    <cacheField name="Hours (Working Hours)" numFmtId="0" databaseField="0">
      <fieldGroup base="6">
        <rangePr groupBy="hours" startDate="1899-12-30T00:00:00" endDate="1899-12-30T16:53:00"/>
        <groupItems count="26">
          <s v="&lt;00-01-00"/>
          <s v="12 AM"/>
          <s v="1 AM"/>
          <s v="2 AM"/>
          <s v="3 AM"/>
          <s v="4 AM"/>
          <s v="5 AM"/>
          <s v="6 AM"/>
          <s v="7 AM"/>
          <s v="8 AM"/>
          <s v="9 AM"/>
          <s v="10 AM"/>
          <s v="11 AM"/>
          <s v="12 PM"/>
          <s v="1 PM"/>
          <s v="2 PM"/>
          <s v="3 PM"/>
          <s v="4 PM"/>
          <s v="5 PM"/>
          <s v="6 PM"/>
          <s v="7 PM"/>
          <s v="8 PM"/>
          <s v="9 PM"/>
          <s v="10 PM"/>
          <s v="11 PM"/>
          <s v="&gt;00-01-00"/>
        </groupItems>
      </fieldGroup>
    </cacheField>
  </cacheFields>
  <extLst>
    <ext xmlns:x14="http://schemas.microsoft.com/office/spreadsheetml/2009/9/main" uri="{725AE2AE-9491-48be-B2B4-4EB974FC3084}">
      <x14:pivotCacheDefinition pivotCacheId="14362342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6">
  <r>
    <x v="0"/>
    <x v="0"/>
    <s v="Wed"/>
    <x v="0"/>
    <d v="1899-12-30T19:34:00"/>
    <x v="0"/>
    <x v="0"/>
    <d v="1899-12-30T00:00:00"/>
    <x v="0"/>
  </r>
  <r>
    <x v="0"/>
    <x v="1"/>
    <s v="Thu"/>
    <x v="1"/>
    <d v="1899-12-30T22:40:00"/>
    <x v="1"/>
    <x v="1"/>
    <d v="1899-12-30T00:00:00"/>
    <x v="0"/>
  </r>
  <r>
    <x v="0"/>
    <x v="2"/>
    <s v="Fri"/>
    <x v="2"/>
    <m/>
    <x v="2"/>
    <x v="2"/>
    <d v="1899-12-30T08:00:00"/>
    <x v="1"/>
  </r>
  <r>
    <x v="0"/>
    <x v="3"/>
    <s v="Sat"/>
    <x v="2"/>
    <m/>
    <x v="2"/>
    <x v="2"/>
    <d v="1899-12-30T08:00:00"/>
    <x v="1"/>
  </r>
  <r>
    <x v="0"/>
    <x v="4"/>
    <s v="Sun"/>
    <x v="3"/>
    <d v="1899-12-30T19:48:00"/>
    <x v="3"/>
    <x v="3"/>
    <d v="1899-12-30T00:00:00"/>
    <x v="0"/>
  </r>
  <r>
    <x v="0"/>
    <x v="5"/>
    <s v="Mon"/>
    <x v="2"/>
    <m/>
    <x v="2"/>
    <x v="2"/>
    <d v="1899-12-30T08:00:00"/>
    <x v="2"/>
  </r>
  <r>
    <x v="0"/>
    <x v="6"/>
    <s v="Tue"/>
    <x v="4"/>
    <d v="1899-12-30T16:15:00"/>
    <x v="2"/>
    <x v="4"/>
    <d v="1899-12-30T00:00:00"/>
    <x v="0"/>
  </r>
  <r>
    <x v="0"/>
    <x v="7"/>
    <s v="Wed"/>
    <x v="5"/>
    <d v="1899-12-30T17:29:00"/>
    <x v="4"/>
    <x v="5"/>
    <d v="1899-12-30T02:18:00"/>
    <x v="0"/>
  </r>
  <r>
    <x v="0"/>
    <x v="8"/>
    <s v="Thu"/>
    <x v="6"/>
    <d v="1899-12-30T19:45:00"/>
    <x v="5"/>
    <x v="6"/>
    <d v="1899-12-30T00:00:00"/>
    <x v="0"/>
  </r>
  <r>
    <x v="0"/>
    <x v="9"/>
    <s v="Fri"/>
    <x v="2"/>
    <m/>
    <x v="2"/>
    <x v="2"/>
    <d v="1899-12-30T08:00:00"/>
    <x v="1"/>
  </r>
  <r>
    <x v="0"/>
    <x v="10"/>
    <s v="Sat"/>
    <x v="2"/>
    <m/>
    <x v="2"/>
    <x v="2"/>
    <d v="1899-12-30T08:00:00"/>
    <x v="1"/>
  </r>
  <r>
    <x v="0"/>
    <x v="11"/>
    <s v="Sun"/>
    <x v="7"/>
    <d v="1899-12-30T21:59:00"/>
    <x v="6"/>
    <x v="7"/>
    <d v="1899-12-30T00:17:00"/>
    <x v="0"/>
  </r>
  <r>
    <x v="0"/>
    <x v="12"/>
    <s v="Mon"/>
    <x v="8"/>
    <d v="1899-12-30T20:20:00"/>
    <x v="7"/>
    <x v="8"/>
    <d v="1899-12-30T00:00:00"/>
    <x v="0"/>
  </r>
  <r>
    <x v="0"/>
    <x v="13"/>
    <s v="Tue"/>
    <x v="4"/>
    <d v="1899-12-30T20:00:00"/>
    <x v="2"/>
    <x v="9"/>
    <d v="1899-12-30T00:00:00"/>
    <x v="3"/>
  </r>
  <r>
    <x v="0"/>
    <x v="14"/>
    <s v="Wed"/>
    <x v="9"/>
    <d v="1899-12-30T20:22:00"/>
    <x v="8"/>
    <x v="10"/>
    <d v="1899-12-30T00:00:00"/>
    <x v="0"/>
  </r>
  <r>
    <x v="0"/>
    <x v="15"/>
    <s v="Thu"/>
    <x v="10"/>
    <d v="1899-12-30T22:12:00"/>
    <x v="9"/>
    <x v="11"/>
    <d v="1899-12-30T00:00:00"/>
    <x v="0"/>
  </r>
  <r>
    <x v="0"/>
    <x v="16"/>
    <s v="Fri"/>
    <x v="2"/>
    <m/>
    <x v="2"/>
    <x v="2"/>
    <d v="1899-12-30T08:00:00"/>
    <x v="1"/>
  </r>
  <r>
    <x v="0"/>
    <x v="17"/>
    <s v="Sat"/>
    <x v="2"/>
    <m/>
    <x v="2"/>
    <x v="2"/>
    <d v="1899-12-30T08:00:00"/>
    <x v="1"/>
  </r>
  <r>
    <x v="0"/>
    <x v="18"/>
    <s v="Sun"/>
    <x v="11"/>
    <d v="1899-12-30T21:18:00"/>
    <x v="10"/>
    <x v="12"/>
    <d v="1899-12-30T00:00:00"/>
    <x v="0"/>
  </r>
  <r>
    <x v="0"/>
    <x v="19"/>
    <s v="Mon"/>
    <x v="12"/>
    <d v="1899-12-30T22:44:00"/>
    <x v="11"/>
    <x v="13"/>
    <d v="1899-12-30T00:00:00"/>
    <x v="0"/>
  </r>
  <r>
    <x v="0"/>
    <x v="20"/>
    <s v="Tue"/>
    <x v="13"/>
    <d v="1899-12-30T22:15:00"/>
    <x v="12"/>
    <x v="14"/>
    <d v="1899-12-30T00:00:00"/>
    <x v="0"/>
  </r>
  <r>
    <x v="0"/>
    <x v="21"/>
    <s v="Wed"/>
    <x v="14"/>
    <d v="1899-12-30T21:24:00"/>
    <x v="13"/>
    <x v="15"/>
    <d v="1899-12-30T00:00:00"/>
    <x v="0"/>
  </r>
  <r>
    <x v="0"/>
    <x v="22"/>
    <s v="Thu"/>
    <x v="15"/>
    <d v="1899-12-30T23:39:00"/>
    <x v="14"/>
    <x v="16"/>
    <d v="1899-12-30T00:00:00"/>
    <x v="0"/>
  </r>
  <r>
    <x v="0"/>
    <x v="23"/>
    <s v="Fri"/>
    <x v="2"/>
    <m/>
    <x v="2"/>
    <x v="2"/>
    <d v="1899-12-30T08:00:00"/>
    <x v="1"/>
  </r>
  <r>
    <x v="0"/>
    <x v="24"/>
    <s v="Sat"/>
    <x v="2"/>
    <m/>
    <x v="2"/>
    <x v="2"/>
    <d v="1899-12-30T08:00:00"/>
    <x v="1"/>
  </r>
  <r>
    <x v="0"/>
    <x v="25"/>
    <s v="Sun"/>
    <x v="2"/>
    <m/>
    <x v="2"/>
    <x v="2"/>
    <d v="1899-12-30T08:00:00"/>
    <x v="4"/>
  </r>
  <r>
    <x v="0"/>
    <x v="26"/>
    <s v="Mon"/>
    <x v="16"/>
    <d v="1899-12-30T23:28:00"/>
    <x v="15"/>
    <x v="17"/>
    <d v="1899-12-30T00:00:00"/>
    <x v="0"/>
  </r>
  <r>
    <x v="0"/>
    <x v="27"/>
    <s v="Tue"/>
    <x v="17"/>
    <d v="1899-12-30T22:15:00"/>
    <x v="16"/>
    <x v="18"/>
    <d v="1899-12-30T00:00:00"/>
    <x v="0"/>
  </r>
  <r>
    <x v="0"/>
    <x v="28"/>
    <s v="Wed"/>
    <x v="18"/>
    <d v="1899-12-30T22:44:00"/>
    <x v="17"/>
    <x v="19"/>
    <d v="1899-12-30T00:00:00"/>
    <x v="0"/>
  </r>
  <r>
    <x v="0"/>
    <x v="29"/>
    <s v="Thu"/>
    <x v="19"/>
    <d v="1899-12-30T20:27:00"/>
    <x v="18"/>
    <x v="20"/>
    <d v="1899-12-30T00:00:00"/>
    <x v="0"/>
  </r>
  <r>
    <x v="0"/>
    <x v="30"/>
    <s v="Fri"/>
    <x v="2"/>
    <m/>
    <x v="2"/>
    <x v="2"/>
    <d v="1899-12-30T08:00:00"/>
    <x v="1"/>
  </r>
  <r>
    <x v="0"/>
    <x v="31"/>
    <s v="Sat"/>
    <x v="2"/>
    <m/>
    <x v="2"/>
    <x v="2"/>
    <d v="1899-12-30T08:00:00"/>
    <x v="1"/>
  </r>
  <r>
    <x v="0"/>
    <x v="32"/>
    <s v="Sun"/>
    <x v="20"/>
    <d v="1899-12-30T23:20:00"/>
    <x v="19"/>
    <x v="21"/>
    <d v="1899-12-30T00:00:00"/>
    <x v="0"/>
  </r>
  <r>
    <x v="0"/>
    <x v="33"/>
    <s v="Mon"/>
    <x v="21"/>
    <d v="1899-12-30T21:36:00"/>
    <x v="20"/>
    <x v="22"/>
    <d v="1899-12-30T00:00:00"/>
    <x v="0"/>
  </r>
  <r>
    <x v="0"/>
    <x v="34"/>
    <s v="Tue"/>
    <x v="22"/>
    <d v="1899-12-30T22:39:00"/>
    <x v="21"/>
    <x v="23"/>
    <d v="1899-12-30T00:00:00"/>
    <x v="0"/>
  </r>
  <r>
    <x v="0"/>
    <x v="35"/>
    <s v="Wed"/>
    <x v="23"/>
    <d v="1899-12-30T23:38:00"/>
    <x v="22"/>
    <x v="24"/>
    <d v="1899-12-30T00:00:00"/>
    <x v="0"/>
  </r>
  <r>
    <x v="0"/>
    <x v="36"/>
    <s v="Thu"/>
    <x v="24"/>
    <d v="1899-12-30T22:39:00"/>
    <x v="2"/>
    <x v="25"/>
    <d v="1899-12-30T00:00:00"/>
    <x v="0"/>
  </r>
  <r>
    <x v="0"/>
    <x v="37"/>
    <s v="Fri"/>
    <x v="2"/>
    <m/>
    <x v="2"/>
    <x v="2"/>
    <d v="1899-12-30T08:00:00"/>
    <x v="1"/>
  </r>
  <r>
    <x v="0"/>
    <x v="38"/>
    <s v="Sat"/>
    <x v="2"/>
    <m/>
    <x v="2"/>
    <x v="2"/>
    <d v="1899-12-30T08:00:00"/>
    <x v="1"/>
  </r>
  <r>
    <x v="0"/>
    <x v="39"/>
    <s v="Sun"/>
    <x v="25"/>
    <d v="1899-12-30T23:15:00"/>
    <x v="23"/>
    <x v="26"/>
    <d v="1899-12-30T00:00:00"/>
    <x v="0"/>
  </r>
  <r>
    <x v="0"/>
    <x v="40"/>
    <s v="Mon"/>
    <x v="26"/>
    <d v="1899-12-30T20:33:00"/>
    <x v="24"/>
    <x v="22"/>
    <d v="1899-12-30T00:00:00"/>
    <x v="0"/>
  </r>
  <r>
    <x v="0"/>
    <x v="41"/>
    <s v="Tue"/>
    <x v="27"/>
    <d v="1899-12-30T22:47:00"/>
    <x v="25"/>
    <x v="27"/>
    <d v="1899-12-30T00:00:00"/>
    <x v="0"/>
  </r>
  <r>
    <x v="0"/>
    <x v="42"/>
    <s v="Wed"/>
    <x v="28"/>
    <d v="1899-12-30T23:18:00"/>
    <x v="26"/>
    <x v="27"/>
    <d v="1899-12-30T00:00:00"/>
    <x v="0"/>
  </r>
  <r>
    <x v="0"/>
    <x v="43"/>
    <s v="Thu"/>
    <x v="29"/>
    <d v="1899-12-30T22:20:00"/>
    <x v="27"/>
    <x v="28"/>
    <d v="1899-12-30T00:00:00"/>
    <x v="0"/>
  </r>
  <r>
    <x v="0"/>
    <x v="44"/>
    <s v="Fri"/>
    <x v="2"/>
    <m/>
    <x v="2"/>
    <x v="2"/>
    <d v="1899-12-30T08:00:00"/>
    <x v="1"/>
  </r>
  <r>
    <x v="0"/>
    <x v="45"/>
    <s v="Sat"/>
    <x v="2"/>
    <m/>
    <x v="2"/>
    <x v="2"/>
    <d v="1899-12-30T08:00:00"/>
    <x v="1"/>
  </r>
  <r>
    <x v="0"/>
    <x v="46"/>
    <s v="Sun"/>
    <x v="30"/>
    <d v="1899-12-30T21:38:00"/>
    <x v="28"/>
    <x v="29"/>
    <d v="1899-12-30T00:00:00"/>
    <x v="0"/>
  </r>
  <r>
    <x v="0"/>
    <x v="47"/>
    <s v="Mon"/>
    <x v="31"/>
    <d v="1899-12-30T20:25:00"/>
    <x v="29"/>
    <x v="30"/>
    <d v="1899-12-30T00:00:00"/>
    <x v="0"/>
  </r>
  <r>
    <x v="0"/>
    <x v="48"/>
    <s v="Tue"/>
    <x v="32"/>
    <d v="1899-12-30T23:29:00"/>
    <x v="30"/>
    <x v="31"/>
    <d v="1899-12-30T00:00:00"/>
    <x v="0"/>
  </r>
  <r>
    <x v="0"/>
    <x v="49"/>
    <s v="Wed"/>
    <x v="33"/>
    <d v="1899-12-30T20:21:00"/>
    <x v="31"/>
    <x v="32"/>
    <d v="1899-12-30T00:00:00"/>
    <x v="0"/>
  </r>
  <r>
    <x v="0"/>
    <x v="50"/>
    <s v="Thu"/>
    <x v="34"/>
    <d v="1899-12-30T21:46:00"/>
    <x v="32"/>
    <x v="33"/>
    <d v="1899-12-30T00:00:00"/>
    <x v="0"/>
  </r>
  <r>
    <x v="0"/>
    <x v="51"/>
    <s v="Fri"/>
    <x v="2"/>
    <m/>
    <x v="2"/>
    <x v="2"/>
    <d v="1899-12-30T08:00:00"/>
    <x v="1"/>
  </r>
  <r>
    <x v="0"/>
    <x v="52"/>
    <s v="Sat"/>
    <x v="2"/>
    <m/>
    <x v="2"/>
    <x v="2"/>
    <d v="1899-12-30T08:00:00"/>
    <x v="1"/>
  </r>
  <r>
    <x v="0"/>
    <x v="53"/>
    <s v="Sun"/>
    <x v="35"/>
    <d v="1899-12-30T21:53:00"/>
    <x v="33"/>
    <x v="34"/>
    <d v="1899-12-30T00:00:00"/>
    <x v="0"/>
  </r>
  <r>
    <x v="0"/>
    <x v="54"/>
    <s v="Mon"/>
    <x v="35"/>
    <d v="1899-12-30T23:59:00"/>
    <x v="33"/>
    <x v="17"/>
    <d v="1899-12-30T00:00:00"/>
    <x v="0"/>
  </r>
  <r>
    <x v="0"/>
    <x v="55"/>
    <s v="Tue"/>
    <x v="36"/>
    <d v="1899-12-30T21:56:00"/>
    <x v="34"/>
    <x v="15"/>
    <d v="1899-12-30T00:00:00"/>
    <x v="0"/>
  </r>
  <r>
    <x v="0"/>
    <x v="56"/>
    <s v="Wed"/>
    <x v="37"/>
    <d v="1899-12-30T20:55:00"/>
    <x v="35"/>
    <x v="35"/>
    <d v="1899-12-30T00:00:00"/>
    <x v="0"/>
  </r>
  <r>
    <x v="0"/>
    <x v="57"/>
    <s v="Thu"/>
    <x v="34"/>
    <d v="1899-12-30T22:57:00"/>
    <x v="32"/>
    <x v="36"/>
    <d v="1899-12-30T00:00:00"/>
    <x v="0"/>
  </r>
  <r>
    <x v="0"/>
    <x v="58"/>
    <s v="Fri"/>
    <x v="2"/>
    <m/>
    <x v="2"/>
    <x v="2"/>
    <d v="1899-12-30T08:00:00"/>
    <x v="1"/>
  </r>
  <r>
    <x v="0"/>
    <x v="59"/>
    <s v="Sat"/>
    <x v="2"/>
    <m/>
    <x v="2"/>
    <x v="2"/>
    <d v="1899-12-30T08:00:00"/>
    <x v="1"/>
  </r>
  <r>
    <x v="0"/>
    <x v="60"/>
    <s v="Sun"/>
    <x v="38"/>
    <d v="1899-12-30T22:37:00"/>
    <x v="36"/>
    <x v="37"/>
    <d v="1899-12-30T00:00:00"/>
    <x v="0"/>
  </r>
  <r>
    <x v="0"/>
    <x v="61"/>
    <s v="Mon"/>
    <x v="39"/>
    <d v="1899-12-30T22:38:00"/>
    <x v="37"/>
    <x v="38"/>
    <d v="1899-12-30T00:00:00"/>
    <x v="0"/>
  </r>
  <r>
    <x v="0"/>
    <x v="62"/>
    <s v="Tue"/>
    <x v="40"/>
    <d v="1899-12-30T23:57:00"/>
    <x v="38"/>
    <x v="39"/>
    <d v="1899-12-30T00:00:00"/>
    <x v="0"/>
  </r>
  <r>
    <x v="0"/>
    <x v="63"/>
    <s v="Wed"/>
    <x v="41"/>
    <d v="1899-12-30T23:59:00"/>
    <x v="2"/>
    <x v="40"/>
    <d v="1899-12-30T00:00:00"/>
    <x v="0"/>
  </r>
  <r>
    <x v="0"/>
    <x v="64"/>
    <s v="Thu"/>
    <x v="42"/>
    <d v="1899-12-30T23:58:00"/>
    <x v="39"/>
    <x v="41"/>
    <d v="1899-12-30T00:00:00"/>
    <x v="0"/>
  </r>
  <r>
    <x v="0"/>
    <x v="65"/>
    <s v="Fri"/>
    <x v="2"/>
    <m/>
    <x v="2"/>
    <x v="2"/>
    <d v="1899-12-30T08:00:00"/>
    <x v="1"/>
  </r>
  <r>
    <x v="0"/>
    <x v="66"/>
    <s v="Sat"/>
    <x v="2"/>
    <m/>
    <x v="2"/>
    <x v="2"/>
    <d v="1899-12-30T08:00:00"/>
    <x v="1"/>
  </r>
  <r>
    <x v="0"/>
    <x v="67"/>
    <s v="Sun"/>
    <x v="30"/>
    <d v="1899-12-30T22:51:00"/>
    <x v="28"/>
    <x v="42"/>
    <d v="1899-12-30T00:00:00"/>
    <x v="0"/>
  </r>
  <r>
    <x v="0"/>
    <x v="68"/>
    <s v="Mon"/>
    <x v="43"/>
    <d v="1899-12-30T21:58:00"/>
    <x v="40"/>
    <x v="11"/>
    <d v="1899-12-30T00:00:00"/>
    <x v="0"/>
  </r>
  <r>
    <x v="0"/>
    <x v="69"/>
    <s v="Tue"/>
    <x v="14"/>
    <d v="1899-12-30T23:37:00"/>
    <x v="13"/>
    <x v="43"/>
    <d v="1899-12-30T00:00:00"/>
    <x v="0"/>
  </r>
  <r>
    <x v="0"/>
    <x v="70"/>
    <s v="Wed"/>
    <x v="20"/>
    <d v="1899-12-30T21:30:00"/>
    <x v="19"/>
    <x v="44"/>
    <d v="1899-12-30T00:00:00"/>
    <x v="0"/>
  </r>
  <r>
    <x v="0"/>
    <x v="71"/>
    <s v="Thu"/>
    <x v="44"/>
    <d v="1899-12-30T23:40:00"/>
    <x v="41"/>
    <x v="45"/>
    <d v="1899-12-30T00:00:00"/>
    <x v="0"/>
  </r>
  <r>
    <x v="0"/>
    <x v="72"/>
    <s v="Fri"/>
    <x v="2"/>
    <m/>
    <x v="2"/>
    <x v="2"/>
    <d v="1899-12-30T08:00:00"/>
    <x v="5"/>
  </r>
  <r>
    <x v="0"/>
    <x v="73"/>
    <s v="Sat"/>
    <x v="2"/>
    <m/>
    <x v="2"/>
    <x v="2"/>
    <d v="1899-12-30T08:00:00"/>
    <x v="1"/>
  </r>
  <r>
    <x v="0"/>
    <x v="74"/>
    <s v="Sun"/>
    <x v="45"/>
    <d v="1899-12-30T20:25:00"/>
    <x v="42"/>
    <x v="46"/>
    <d v="1899-12-30T00:00:00"/>
    <x v="0"/>
  </r>
  <r>
    <x v="0"/>
    <x v="75"/>
    <s v="Mon"/>
    <x v="46"/>
    <d v="1899-12-30T22:36:00"/>
    <x v="43"/>
    <x v="47"/>
    <d v="1899-12-30T00:00:00"/>
    <x v="0"/>
  </r>
  <r>
    <x v="0"/>
    <x v="76"/>
    <s v="Tue"/>
    <x v="47"/>
    <d v="1899-12-30T20:18:00"/>
    <x v="44"/>
    <x v="48"/>
    <d v="1899-12-30T00:00:00"/>
    <x v="0"/>
  </r>
  <r>
    <x v="0"/>
    <x v="77"/>
    <s v="Wed"/>
    <x v="48"/>
    <d v="1899-12-30T20:28:00"/>
    <x v="45"/>
    <x v="49"/>
    <d v="1899-12-30T00:00:00"/>
    <x v="0"/>
  </r>
  <r>
    <x v="0"/>
    <x v="78"/>
    <s v="Thu"/>
    <x v="49"/>
    <d v="1899-12-30T22:55:00"/>
    <x v="2"/>
    <x v="50"/>
    <d v="1899-12-30T00:00:00"/>
    <x v="0"/>
  </r>
  <r>
    <x v="0"/>
    <x v="79"/>
    <s v="Fri"/>
    <x v="2"/>
    <m/>
    <x v="2"/>
    <x v="2"/>
    <d v="1899-12-30T08:00:00"/>
    <x v="1"/>
  </r>
  <r>
    <x v="0"/>
    <x v="80"/>
    <s v="Sat"/>
    <x v="2"/>
    <m/>
    <x v="2"/>
    <x v="2"/>
    <d v="1899-12-30T08:00:00"/>
    <x v="1"/>
  </r>
  <r>
    <x v="0"/>
    <x v="81"/>
    <s v="Sun"/>
    <x v="50"/>
    <d v="1899-12-30T22:24:00"/>
    <x v="46"/>
    <x v="51"/>
    <d v="1899-12-30T00:00:00"/>
    <x v="0"/>
  </r>
  <r>
    <x v="0"/>
    <x v="82"/>
    <s v="Mon"/>
    <x v="51"/>
    <d v="1899-12-30T22:20:00"/>
    <x v="47"/>
    <x v="52"/>
    <d v="1899-12-30T00:00:00"/>
    <x v="0"/>
  </r>
  <r>
    <x v="0"/>
    <x v="83"/>
    <s v="Tue"/>
    <x v="52"/>
    <d v="1899-12-30T22:58:00"/>
    <x v="48"/>
    <x v="53"/>
    <d v="1899-12-30T00:00:00"/>
    <x v="0"/>
  </r>
  <r>
    <x v="0"/>
    <x v="84"/>
    <s v="Wed"/>
    <x v="53"/>
    <d v="1899-12-30T23:55:00"/>
    <x v="49"/>
    <x v="54"/>
    <d v="1899-12-30T00:00:00"/>
    <x v="0"/>
  </r>
  <r>
    <x v="0"/>
    <x v="85"/>
    <s v="Thu"/>
    <x v="54"/>
    <d v="1899-12-30T23:51:00"/>
    <x v="2"/>
    <x v="54"/>
    <d v="1899-12-30T00:00:00"/>
    <x v="0"/>
  </r>
  <r>
    <x v="0"/>
    <x v="86"/>
    <s v="Fri"/>
    <x v="2"/>
    <m/>
    <x v="2"/>
    <x v="2"/>
    <d v="1899-12-30T08:00:00"/>
    <x v="1"/>
  </r>
  <r>
    <x v="0"/>
    <x v="87"/>
    <s v="Sat"/>
    <x v="2"/>
    <m/>
    <x v="2"/>
    <x v="2"/>
    <d v="1899-12-30T08:00:00"/>
    <x v="1"/>
  </r>
  <r>
    <x v="0"/>
    <x v="88"/>
    <s v="Sun"/>
    <x v="55"/>
    <d v="1899-12-30T23:47:00"/>
    <x v="2"/>
    <x v="55"/>
    <d v="1899-12-30T00:00:00"/>
    <x v="0"/>
  </r>
  <r>
    <x v="0"/>
    <x v="89"/>
    <s v="Mon"/>
    <x v="56"/>
    <d v="1899-12-30T21:52:00"/>
    <x v="2"/>
    <x v="56"/>
    <d v="1899-12-30T00:00:00"/>
    <x v="0"/>
  </r>
  <r>
    <x v="0"/>
    <x v="90"/>
    <s v="Tue"/>
    <x v="16"/>
    <d v="1899-12-30T20:56:00"/>
    <x v="15"/>
    <x v="57"/>
    <d v="1899-12-30T00:00:00"/>
    <x v="0"/>
  </r>
  <r>
    <x v="0"/>
    <x v="91"/>
    <s v="Wed"/>
    <x v="57"/>
    <d v="1899-12-30T20:43:00"/>
    <x v="2"/>
    <x v="58"/>
    <d v="1899-12-30T00:00:00"/>
    <x v="0"/>
  </r>
  <r>
    <x v="0"/>
    <x v="92"/>
    <s v="Thu"/>
    <x v="25"/>
    <d v="1899-12-30T22:47:00"/>
    <x v="23"/>
    <x v="59"/>
    <d v="1899-12-30T00:00:00"/>
    <x v="0"/>
  </r>
  <r>
    <x v="0"/>
    <x v="93"/>
    <s v="Fri"/>
    <x v="2"/>
    <m/>
    <x v="2"/>
    <x v="2"/>
    <d v="1899-12-30T08:00:00"/>
    <x v="1"/>
  </r>
  <r>
    <x v="0"/>
    <x v="94"/>
    <s v="Sat"/>
    <x v="2"/>
    <m/>
    <x v="2"/>
    <x v="2"/>
    <d v="1899-12-30T08:00:00"/>
    <x v="1"/>
  </r>
  <r>
    <x v="0"/>
    <x v="95"/>
    <s v="Sun"/>
    <x v="58"/>
    <d v="1899-12-30T21:49:00"/>
    <x v="50"/>
    <x v="60"/>
    <d v="1899-12-30T00:00:00"/>
    <x v="0"/>
  </r>
  <r>
    <x v="0"/>
    <x v="96"/>
    <s v="Mon"/>
    <x v="59"/>
    <d v="1899-12-30T20:16:00"/>
    <x v="51"/>
    <x v="61"/>
    <d v="1899-12-30T00:00:00"/>
    <x v="0"/>
  </r>
  <r>
    <x v="0"/>
    <x v="97"/>
    <s v="Tue"/>
    <x v="60"/>
    <d v="1899-12-30T22:26:00"/>
    <x v="2"/>
    <x v="62"/>
    <d v="1899-12-30T00:00:00"/>
    <x v="0"/>
  </r>
  <r>
    <x v="0"/>
    <x v="98"/>
    <s v="Wed"/>
    <x v="61"/>
    <d v="1899-12-30T23:24:00"/>
    <x v="52"/>
    <x v="63"/>
    <d v="1899-12-30T00:00:00"/>
    <x v="0"/>
  </r>
  <r>
    <x v="0"/>
    <x v="99"/>
    <s v="Thu"/>
    <x v="62"/>
    <d v="1899-12-30T21:43:00"/>
    <x v="53"/>
    <x v="64"/>
    <d v="1899-12-30T00:00:00"/>
    <x v="0"/>
  </r>
  <r>
    <x v="0"/>
    <x v="100"/>
    <s v="Fri"/>
    <x v="2"/>
    <m/>
    <x v="2"/>
    <x v="2"/>
    <d v="1899-12-30T08:00:00"/>
    <x v="1"/>
  </r>
  <r>
    <x v="0"/>
    <x v="101"/>
    <s v="Sat"/>
    <x v="2"/>
    <m/>
    <x v="2"/>
    <x v="2"/>
    <d v="1899-12-30T08:00:00"/>
    <x v="1"/>
  </r>
  <r>
    <x v="0"/>
    <x v="102"/>
    <s v="Sun"/>
    <x v="5"/>
    <d v="1899-12-30T22:28:00"/>
    <x v="4"/>
    <x v="65"/>
    <d v="1899-12-30T00:00:00"/>
    <x v="0"/>
  </r>
  <r>
    <x v="0"/>
    <x v="103"/>
    <s v="Mon"/>
    <x v="63"/>
    <d v="1899-12-30T23:53:00"/>
    <x v="2"/>
    <x v="66"/>
    <d v="1899-12-30T00:00:00"/>
    <x v="0"/>
  </r>
  <r>
    <x v="0"/>
    <x v="104"/>
    <s v="Tue"/>
    <x v="64"/>
    <d v="1899-12-30T23:16:00"/>
    <x v="54"/>
    <x v="67"/>
    <d v="1899-12-30T00:00:00"/>
    <x v="0"/>
  </r>
  <r>
    <x v="0"/>
    <x v="105"/>
    <s v="Wed"/>
    <x v="65"/>
    <d v="1899-12-30T23:31:00"/>
    <x v="55"/>
    <x v="68"/>
    <d v="1899-12-30T00:00:00"/>
    <x v="0"/>
  </r>
  <r>
    <x v="0"/>
    <x v="106"/>
    <s v="Thu"/>
    <x v="66"/>
    <d v="1899-12-30T20:34:00"/>
    <x v="2"/>
    <x v="69"/>
    <d v="1899-12-30T00:00:00"/>
    <x v="0"/>
  </r>
  <r>
    <x v="0"/>
    <x v="107"/>
    <s v="Fri"/>
    <x v="2"/>
    <m/>
    <x v="2"/>
    <x v="2"/>
    <d v="1899-12-30T08:00:00"/>
    <x v="1"/>
  </r>
  <r>
    <x v="0"/>
    <x v="108"/>
    <s v="Sat"/>
    <x v="2"/>
    <m/>
    <x v="2"/>
    <x v="2"/>
    <d v="1899-12-30T08:00:00"/>
    <x v="1"/>
  </r>
  <r>
    <x v="0"/>
    <x v="109"/>
    <s v="Sun"/>
    <x v="67"/>
    <d v="1899-12-30T22:35:00"/>
    <x v="56"/>
    <x v="70"/>
    <d v="1899-12-30T00:00:00"/>
    <x v="0"/>
  </r>
  <r>
    <x v="0"/>
    <x v="110"/>
    <s v="Mon"/>
    <x v="68"/>
    <d v="1899-12-30T21:28:00"/>
    <x v="2"/>
    <x v="71"/>
    <d v="1899-12-30T00:00:00"/>
    <x v="0"/>
  </r>
  <r>
    <x v="0"/>
    <x v="111"/>
    <s v="Tue"/>
    <x v="69"/>
    <d v="1899-12-30T22:18:00"/>
    <x v="57"/>
    <x v="72"/>
    <d v="1899-12-30T00:00:00"/>
    <x v="0"/>
  </r>
  <r>
    <x v="0"/>
    <x v="112"/>
    <s v="Wed"/>
    <x v="5"/>
    <d v="1899-12-30T23:55:00"/>
    <x v="4"/>
    <x v="73"/>
    <d v="1899-12-30T00:00:00"/>
    <x v="0"/>
  </r>
  <r>
    <x v="0"/>
    <x v="113"/>
    <s v="Thu"/>
    <x v="70"/>
    <d v="1899-12-30T22:19:00"/>
    <x v="58"/>
    <x v="74"/>
    <d v="1899-12-30T00:00:00"/>
    <x v="0"/>
  </r>
  <r>
    <x v="0"/>
    <x v="114"/>
    <s v="Fri"/>
    <x v="2"/>
    <m/>
    <x v="2"/>
    <x v="2"/>
    <d v="1899-12-30T08:00:00"/>
    <x v="1"/>
  </r>
  <r>
    <x v="0"/>
    <x v="115"/>
    <s v="Sat"/>
    <x v="2"/>
    <m/>
    <x v="2"/>
    <x v="2"/>
    <d v="1899-12-30T08:00:00"/>
    <x v="1"/>
  </r>
  <r>
    <x v="0"/>
    <x v="116"/>
    <s v="Sun"/>
    <x v="71"/>
    <d v="1899-12-30T22:24:00"/>
    <x v="59"/>
    <x v="75"/>
    <d v="1899-12-30T00:00:00"/>
    <x v="0"/>
  </r>
  <r>
    <x v="0"/>
    <x v="117"/>
    <s v="Mon"/>
    <x v="72"/>
    <d v="1899-12-30T23:30:00"/>
    <x v="60"/>
    <x v="76"/>
    <d v="1899-12-30T00:00:00"/>
    <x v="0"/>
  </r>
  <r>
    <x v="0"/>
    <x v="118"/>
    <s v="Tue"/>
    <x v="73"/>
    <d v="1899-12-30T23:15:00"/>
    <x v="61"/>
    <x v="9"/>
    <d v="1899-12-30T00:00:00"/>
    <x v="0"/>
  </r>
  <r>
    <x v="0"/>
    <x v="119"/>
    <s v="Wed"/>
    <x v="74"/>
    <d v="1899-12-30T22:24:00"/>
    <x v="2"/>
    <x v="77"/>
    <d v="1899-12-30T00:00:00"/>
    <x v="0"/>
  </r>
  <r>
    <x v="0"/>
    <x v="120"/>
    <s v="Thu"/>
    <x v="2"/>
    <m/>
    <x v="2"/>
    <x v="2"/>
    <d v="1899-12-30T08:00:00"/>
    <x v="6"/>
  </r>
  <r>
    <x v="0"/>
    <x v="121"/>
    <s v="Fri"/>
    <x v="2"/>
    <m/>
    <x v="2"/>
    <x v="2"/>
    <d v="1899-12-30T08:00:00"/>
    <x v="1"/>
  </r>
  <r>
    <x v="0"/>
    <x v="122"/>
    <s v="Sat"/>
    <x v="2"/>
    <m/>
    <x v="2"/>
    <x v="2"/>
    <d v="1899-12-30T08:00:00"/>
    <x v="1"/>
  </r>
  <r>
    <x v="0"/>
    <x v="123"/>
    <s v="Sun"/>
    <x v="54"/>
    <d v="1899-12-30T22:22:00"/>
    <x v="2"/>
    <x v="78"/>
    <d v="1899-12-30T00:00:00"/>
    <x v="0"/>
  </r>
  <r>
    <x v="0"/>
    <x v="124"/>
    <s v="Mon"/>
    <x v="75"/>
    <d v="1899-12-30T21:37:00"/>
    <x v="62"/>
    <x v="79"/>
    <d v="1899-12-30T00:00:00"/>
    <x v="0"/>
  </r>
  <r>
    <x v="0"/>
    <x v="125"/>
    <s v="Tue"/>
    <x v="76"/>
    <d v="1899-12-30T23:49:00"/>
    <x v="2"/>
    <x v="80"/>
    <d v="1899-12-30T00:00:00"/>
    <x v="0"/>
  </r>
  <r>
    <x v="0"/>
    <x v="126"/>
    <s v="Wed"/>
    <x v="77"/>
    <d v="1899-12-30T20:50:00"/>
    <x v="63"/>
    <x v="81"/>
    <d v="1899-12-30T00:00:00"/>
    <x v="0"/>
  </r>
  <r>
    <x v="0"/>
    <x v="127"/>
    <s v="Thu"/>
    <x v="69"/>
    <d v="1899-12-30T20:34:00"/>
    <x v="57"/>
    <x v="82"/>
    <d v="1899-12-30T00:00:00"/>
    <x v="0"/>
  </r>
  <r>
    <x v="0"/>
    <x v="128"/>
    <s v="Fri"/>
    <x v="2"/>
    <m/>
    <x v="2"/>
    <x v="2"/>
    <d v="1899-12-30T08:00:00"/>
    <x v="1"/>
  </r>
  <r>
    <x v="0"/>
    <x v="129"/>
    <s v="Sat"/>
    <x v="2"/>
    <m/>
    <x v="2"/>
    <x v="2"/>
    <d v="1899-12-30T08:00:00"/>
    <x v="1"/>
  </r>
  <r>
    <x v="0"/>
    <x v="130"/>
    <s v="Sun"/>
    <x v="78"/>
    <d v="1899-12-30T20:48:00"/>
    <x v="64"/>
    <x v="83"/>
    <d v="1899-12-30T00:00:00"/>
    <x v="0"/>
  </r>
  <r>
    <x v="0"/>
    <x v="131"/>
    <s v="Mon"/>
    <x v="2"/>
    <m/>
    <x v="2"/>
    <x v="2"/>
    <d v="1899-12-30T08:00:00"/>
    <x v="2"/>
  </r>
  <r>
    <x v="0"/>
    <x v="132"/>
    <s v="Tue"/>
    <x v="79"/>
    <d v="1899-12-30T20:52:00"/>
    <x v="2"/>
    <x v="84"/>
    <d v="1899-12-30T00:00:00"/>
    <x v="0"/>
  </r>
  <r>
    <x v="0"/>
    <x v="133"/>
    <s v="Wed"/>
    <x v="80"/>
    <d v="1899-12-30T23:19:00"/>
    <x v="65"/>
    <x v="79"/>
    <d v="1899-12-30T00:00:00"/>
    <x v="0"/>
  </r>
  <r>
    <x v="0"/>
    <x v="134"/>
    <s v="Thu"/>
    <x v="81"/>
    <d v="1899-12-30T22:47:00"/>
    <x v="66"/>
    <x v="85"/>
    <d v="1899-12-30T00:00:00"/>
    <x v="0"/>
  </r>
  <r>
    <x v="0"/>
    <x v="135"/>
    <s v="Fri"/>
    <x v="2"/>
    <m/>
    <x v="2"/>
    <x v="2"/>
    <d v="1899-12-30T08:00:00"/>
    <x v="1"/>
  </r>
  <r>
    <x v="0"/>
    <x v="136"/>
    <s v="Sat"/>
    <x v="2"/>
    <m/>
    <x v="2"/>
    <x v="2"/>
    <d v="1899-12-30T08:00:00"/>
    <x v="1"/>
  </r>
  <r>
    <x v="0"/>
    <x v="137"/>
    <s v="Sun"/>
    <x v="82"/>
    <d v="1899-12-30T20:24:00"/>
    <x v="2"/>
    <x v="85"/>
    <d v="1899-12-30T00:00:00"/>
    <x v="0"/>
  </r>
  <r>
    <x v="0"/>
    <x v="138"/>
    <s v="Mon"/>
    <x v="77"/>
    <d v="1899-12-30T23:55:00"/>
    <x v="63"/>
    <x v="86"/>
    <d v="1899-12-30T00:00:00"/>
    <x v="0"/>
  </r>
  <r>
    <x v="0"/>
    <x v="139"/>
    <s v="Tue"/>
    <x v="26"/>
    <d v="1899-12-30T22:19:00"/>
    <x v="24"/>
    <x v="87"/>
    <d v="1899-12-30T00:00:00"/>
    <x v="0"/>
  </r>
  <r>
    <x v="0"/>
    <x v="140"/>
    <s v="Wed"/>
    <x v="74"/>
    <d v="1899-12-30T20:35:00"/>
    <x v="2"/>
    <x v="88"/>
    <d v="1899-12-30T00:00:00"/>
    <x v="0"/>
  </r>
  <r>
    <x v="0"/>
    <x v="141"/>
    <s v="Thu"/>
    <x v="4"/>
    <d v="1899-12-30T22:28:00"/>
    <x v="2"/>
    <x v="89"/>
    <d v="1899-12-30T00:00:00"/>
    <x v="0"/>
  </r>
  <r>
    <x v="0"/>
    <x v="142"/>
    <s v="Fri"/>
    <x v="2"/>
    <m/>
    <x v="2"/>
    <x v="2"/>
    <d v="1899-12-30T08:00:00"/>
    <x v="1"/>
  </r>
  <r>
    <x v="0"/>
    <x v="143"/>
    <s v="Sat"/>
    <x v="2"/>
    <m/>
    <x v="2"/>
    <x v="2"/>
    <d v="1899-12-30T08:00:00"/>
    <x v="1"/>
  </r>
  <r>
    <x v="0"/>
    <x v="144"/>
    <s v="Sun"/>
    <x v="83"/>
    <d v="1899-12-30T21:46:00"/>
    <x v="67"/>
    <x v="90"/>
    <d v="1899-12-30T00:00:00"/>
    <x v="0"/>
  </r>
  <r>
    <x v="0"/>
    <x v="145"/>
    <s v="Mon"/>
    <x v="34"/>
    <d v="1899-12-30T21:32:00"/>
    <x v="32"/>
    <x v="91"/>
    <d v="1899-12-30T00:00:00"/>
    <x v="0"/>
  </r>
  <r>
    <x v="0"/>
    <x v="146"/>
    <s v="Tue"/>
    <x v="81"/>
    <d v="1899-12-30T20:28:00"/>
    <x v="66"/>
    <x v="92"/>
    <d v="1899-12-30T00:00:00"/>
    <x v="0"/>
  </r>
  <r>
    <x v="0"/>
    <x v="147"/>
    <s v="Wed"/>
    <x v="65"/>
    <d v="1899-12-30T20:24:00"/>
    <x v="55"/>
    <x v="93"/>
    <d v="1899-12-30T00:00:00"/>
    <x v="0"/>
  </r>
  <r>
    <x v="0"/>
    <x v="148"/>
    <s v="Thu"/>
    <x v="84"/>
    <d v="1899-12-30T23:17:00"/>
    <x v="68"/>
    <x v="57"/>
    <d v="1899-12-30T00:00:00"/>
    <x v="0"/>
  </r>
  <r>
    <x v="0"/>
    <x v="149"/>
    <s v="Fri"/>
    <x v="2"/>
    <m/>
    <x v="2"/>
    <x v="2"/>
    <d v="1899-12-30T08:00:00"/>
    <x v="1"/>
  </r>
  <r>
    <x v="0"/>
    <x v="150"/>
    <s v="Sat"/>
    <x v="2"/>
    <m/>
    <x v="2"/>
    <x v="2"/>
    <d v="1899-12-30T08:00:00"/>
    <x v="1"/>
  </r>
  <r>
    <x v="1"/>
    <x v="0"/>
    <s v="Sun"/>
    <x v="57"/>
    <d v="1899-12-30T22:23:00"/>
    <x v="2"/>
    <x v="94"/>
    <d v="1899-12-30T00:00:00"/>
    <x v="0"/>
  </r>
  <r>
    <x v="1"/>
    <x v="1"/>
    <s v="Mon"/>
    <x v="85"/>
    <d v="1899-12-30T20:39:00"/>
    <x v="2"/>
    <x v="95"/>
    <d v="1899-12-30T00:00:00"/>
    <x v="0"/>
  </r>
  <r>
    <x v="1"/>
    <x v="2"/>
    <s v="Tue"/>
    <x v="86"/>
    <d v="1899-12-30T21:40:00"/>
    <x v="69"/>
    <x v="96"/>
    <d v="1899-12-30T00:00:00"/>
    <x v="0"/>
  </r>
  <r>
    <x v="1"/>
    <x v="3"/>
    <s v="Wed"/>
    <x v="87"/>
    <d v="1899-12-30T23:49:00"/>
    <x v="70"/>
    <x v="97"/>
    <d v="1899-12-30T00:00:00"/>
    <x v="0"/>
  </r>
  <r>
    <x v="1"/>
    <x v="4"/>
    <s v="Thu"/>
    <x v="88"/>
    <d v="1899-12-30T21:16:00"/>
    <x v="71"/>
    <x v="98"/>
    <d v="1899-12-30T00:00:00"/>
    <x v="0"/>
  </r>
  <r>
    <x v="1"/>
    <x v="5"/>
    <s v="Fri"/>
    <x v="2"/>
    <m/>
    <x v="2"/>
    <x v="2"/>
    <d v="1899-12-30T08:00:00"/>
    <x v="1"/>
  </r>
  <r>
    <x v="1"/>
    <x v="6"/>
    <s v="Sat"/>
    <x v="2"/>
    <m/>
    <x v="2"/>
    <x v="2"/>
    <d v="1899-12-30T08:00:00"/>
    <x v="1"/>
  </r>
  <r>
    <x v="1"/>
    <x v="7"/>
    <s v="Sun"/>
    <x v="72"/>
    <d v="1899-12-30T23:53:00"/>
    <x v="60"/>
    <x v="99"/>
    <d v="1899-12-30T00:00:00"/>
    <x v="0"/>
  </r>
  <r>
    <x v="1"/>
    <x v="8"/>
    <s v="Mon"/>
    <x v="89"/>
    <d v="1899-12-30T21:57:00"/>
    <x v="72"/>
    <x v="95"/>
    <d v="1899-12-30T00:00:00"/>
    <x v="0"/>
  </r>
  <r>
    <x v="1"/>
    <x v="9"/>
    <s v="Tue"/>
    <x v="26"/>
    <d v="1899-12-30T21:38:00"/>
    <x v="24"/>
    <x v="41"/>
    <d v="1899-12-30T00:00:00"/>
    <x v="0"/>
  </r>
  <r>
    <x v="1"/>
    <x v="10"/>
    <s v="Wed"/>
    <x v="90"/>
    <d v="1899-12-30T23:45:00"/>
    <x v="73"/>
    <x v="31"/>
    <d v="1899-12-30T00:00:00"/>
    <x v="0"/>
  </r>
  <r>
    <x v="1"/>
    <x v="11"/>
    <s v="Thu"/>
    <x v="4"/>
    <d v="1899-12-30T20:28:00"/>
    <x v="2"/>
    <x v="60"/>
    <d v="1899-12-30T00:00:00"/>
    <x v="0"/>
  </r>
  <r>
    <x v="1"/>
    <x v="12"/>
    <s v="Fri"/>
    <x v="2"/>
    <m/>
    <x v="2"/>
    <x v="2"/>
    <d v="1899-12-30T08:00:00"/>
    <x v="1"/>
  </r>
  <r>
    <x v="1"/>
    <x v="13"/>
    <s v="Sat"/>
    <x v="2"/>
    <m/>
    <x v="2"/>
    <x v="2"/>
    <d v="1899-12-30T08:00:00"/>
    <x v="3"/>
  </r>
  <r>
    <x v="1"/>
    <x v="14"/>
    <s v="Sun"/>
    <x v="91"/>
    <d v="1899-12-30T22:36:00"/>
    <x v="74"/>
    <x v="63"/>
    <d v="1899-12-30T00:00:00"/>
    <x v="0"/>
  </r>
  <r>
    <x v="1"/>
    <x v="15"/>
    <s v="Mon"/>
    <x v="92"/>
    <d v="1899-12-30T23:22:00"/>
    <x v="75"/>
    <x v="100"/>
    <d v="1899-12-30T00:00:00"/>
    <x v="0"/>
  </r>
  <r>
    <x v="1"/>
    <x v="16"/>
    <s v="Tue"/>
    <x v="21"/>
    <d v="1899-12-30T21:41:00"/>
    <x v="20"/>
    <x v="101"/>
    <d v="1899-12-30T00:00:00"/>
    <x v="0"/>
  </r>
  <r>
    <x v="1"/>
    <x v="17"/>
    <s v="Wed"/>
    <x v="93"/>
    <d v="1899-12-30T20:57:00"/>
    <x v="76"/>
    <x v="102"/>
    <d v="1899-12-30T00:00:00"/>
    <x v="0"/>
  </r>
  <r>
    <x v="1"/>
    <x v="18"/>
    <s v="Thu"/>
    <x v="63"/>
    <d v="1899-12-30T21:21:00"/>
    <x v="2"/>
    <x v="103"/>
    <d v="1899-12-30T00:00:00"/>
    <x v="0"/>
  </r>
  <r>
    <x v="1"/>
    <x v="19"/>
    <s v="Fri"/>
    <x v="2"/>
    <m/>
    <x v="2"/>
    <x v="2"/>
    <d v="1899-12-30T08:00:00"/>
    <x v="1"/>
  </r>
  <r>
    <x v="1"/>
    <x v="20"/>
    <s v="Sat"/>
    <x v="2"/>
    <m/>
    <x v="2"/>
    <x v="2"/>
    <d v="1899-12-30T08:00:00"/>
    <x v="1"/>
  </r>
  <r>
    <x v="1"/>
    <x v="21"/>
    <s v="Sun"/>
    <x v="94"/>
    <d v="1899-12-30T23:35:00"/>
    <x v="77"/>
    <x v="104"/>
    <d v="1899-12-30T00:00:00"/>
    <x v="0"/>
  </r>
  <r>
    <x v="1"/>
    <x v="22"/>
    <s v="Mon"/>
    <x v="95"/>
    <d v="1899-12-30T21:18:00"/>
    <x v="78"/>
    <x v="105"/>
    <d v="1899-12-30T00:00:00"/>
    <x v="0"/>
  </r>
  <r>
    <x v="1"/>
    <x v="23"/>
    <s v="Tue"/>
    <x v="52"/>
    <d v="1899-12-30T23:50:00"/>
    <x v="48"/>
    <x v="52"/>
    <d v="1899-12-30T00:00:00"/>
    <x v="0"/>
  </r>
  <r>
    <x v="1"/>
    <x v="24"/>
    <s v="Wed"/>
    <x v="96"/>
    <d v="1899-12-30T20:25:00"/>
    <x v="79"/>
    <x v="106"/>
    <d v="1899-12-30T00:00:00"/>
    <x v="0"/>
  </r>
  <r>
    <x v="1"/>
    <x v="25"/>
    <s v="Thu"/>
    <x v="2"/>
    <m/>
    <x v="2"/>
    <x v="2"/>
    <d v="1899-12-30T08:00:00"/>
    <x v="4"/>
  </r>
  <r>
    <x v="1"/>
    <x v="26"/>
    <s v="Fri"/>
    <x v="2"/>
    <m/>
    <x v="2"/>
    <x v="2"/>
    <d v="1899-12-30T08:00:00"/>
    <x v="1"/>
  </r>
  <r>
    <x v="1"/>
    <x v="27"/>
    <s v="Sat"/>
    <x v="2"/>
    <m/>
    <x v="2"/>
    <x v="2"/>
    <d v="1899-12-30T08:00:00"/>
    <x v="1"/>
  </r>
  <r>
    <x v="1"/>
    <x v="28"/>
    <s v="Sun"/>
    <x v="37"/>
    <d v="1899-12-30T22:48:00"/>
    <x v="35"/>
    <x v="72"/>
    <d v="1899-12-30T00:00:00"/>
    <x v="0"/>
  </r>
  <r>
    <x v="1"/>
    <x v="29"/>
    <s v="Mon"/>
    <x v="97"/>
    <d v="1899-12-30T23:32:00"/>
    <x v="80"/>
    <x v="107"/>
    <d v="1899-12-30T00:00:00"/>
    <x v="0"/>
  </r>
  <r>
    <x v="1"/>
    <x v="30"/>
    <s v="Tue"/>
    <x v="70"/>
    <d v="1899-12-30T23:25:00"/>
    <x v="58"/>
    <x v="69"/>
    <d v="1899-12-30T00:00:00"/>
    <x v="0"/>
  </r>
  <r>
    <x v="1"/>
    <x v="31"/>
    <s v="Wed"/>
    <x v="98"/>
    <d v="1899-12-30T21:18:00"/>
    <x v="81"/>
    <x v="108"/>
    <d v="1899-12-30T00:00:00"/>
    <x v="0"/>
  </r>
  <r>
    <x v="1"/>
    <x v="32"/>
    <s v="Thu"/>
    <x v="99"/>
    <d v="1899-12-30T20:42:00"/>
    <x v="82"/>
    <x v="109"/>
    <d v="1899-12-30T00:00:00"/>
    <x v="0"/>
  </r>
  <r>
    <x v="1"/>
    <x v="33"/>
    <s v="Fri"/>
    <x v="2"/>
    <m/>
    <x v="2"/>
    <x v="2"/>
    <d v="1899-12-30T08:00:00"/>
    <x v="1"/>
  </r>
  <r>
    <x v="1"/>
    <x v="34"/>
    <s v="Sat"/>
    <x v="2"/>
    <m/>
    <x v="2"/>
    <x v="2"/>
    <d v="1899-12-30T08:00:00"/>
    <x v="1"/>
  </r>
  <r>
    <x v="1"/>
    <x v="35"/>
    <s v="Sun"/>
    <x v="80"/>
    <d v="1899-12-30T21:15:00"/>
    <x v="65"/>
    <x v="110"/>
    <d v="1899-12-30T00:00:00"/>
    <x v="0"/>
  </r>
  <r>
    <x v="1"/>
    <x v="36"/>
    <s v="Mon"/>
    <x v="100"/>
    <d v="1899-12-30T20:51:00"/>
    <x v="2"/>
    <x v="111"/>
    <d v="1899-12-30T00:00:00"/>
    <x v="0"/>
  </r>
  <r>
    <x v="1"/>
    <x v="37"/>
    <s v="Tue"/>
    <x v="101"/>
    <d v="1899-12-30T22:58:00"/>
    <x v="83"/>
    <x v="100"/>
    <d v="1899-12-30T00:00:00"/>
    <x v="0"/>
  </r>
  <r>
    <x v="1"/>
    <x v="38"/>
    <s v="Wed"/>
    <x v="0"/>
    <d v="1899-12-30T20:41:00"/>
    <x v="0"/>
    <x v="112"/>
    <d v="1899-12-30T00:00:00"/>
    <x v="0"/>
  </r>
  <r>
    <x v="1"/>
    <x v="39"/>
    <s v="Thu"/>
    <x v="102"/>
    <d v="1899-12-30T23:25:00"/>
    <x v="2"/>
    <x v="113"/>
    <d v="1899-12-30T00:00:00"/>
    <x v="0"/>
  </r>
  <r>
    <x v="1"/>
    <x v="40"/>
    <s v="Fri"/>
    <x v="2"/>
    <m/>
    <x v="2"/>
    <x v="2"/>
    <d v="1899-12-30T08:00:00"/>
    <x v="1"/>
  </r>
  <r>
    <x v="1"/>
    <x v="41"/>
    <s v="Sat"/>
    <x v="2"/>
    <m/>
    <x v="2"/>
    <x v="2"/>
    <d v="1899-12-30T08:00:00"/>
    <x v="1"/>
  </r>
  <r>
    <x v="1"/>
    <x v="42"/>
    <s v="Sun"/>
    <x v="103"/>
    <d v="1899-12-30T23:28:00"/>
    <x v="84"/>
    <x v="114"/>
    <d v="1899-12-30T00:00:00"/>
    <x v="0"/>
  </r>
  <r>
    <x v="1"/>
    <x v="43"/>
    <s v="Mon"/>
    <x v="104"/>
    <d v="1899-12-30T20:24:00"/>
    <x v="85"/>
    <x v="115"/>
    <d v="1899-12-30T00:00:00"/>
    <x v="0"/>
  </r>
  <r>
    <x v="1"/>
    <x v="44"/>
    <s v="Tue"/>
    <x v="53"/>
    <d v="1899-12-30T23:57:00"/>
    <x v="49"/>
    <x v="55"/>
    <d v="1899-12-30T00:00:00"/>
    <x v="0"/>
  </r>
  <r>
    <x v="1"/>
    <x v="45"/>
    <s v="Wed"/>
    <x v="99"/>
    <d v="1899-12-30T22:58:00"/>
    <x v="82"/>
    <x v="116"/>
    <d v="1899-12-30T00:00:00"/>
    <x v="0"/>
  </r>
  <r>
    <x v="1"/>
    <x v="46"/>
    <s v="Thu"/>
    <x v="105"/>
    <d v="1899-12-30T21:20:00"/>
    <x v="86"/>
    <x v="117"/>
    <d v="1899-12-30T00:00:00"/>
    <x v="0"/>
  </r>
  <r>
    <x v="1"/>
    <x v="47"/>
    <s v="Fri"/>
    <x v="2"/>
    <m/>
    <x v="2"/>
    <x v="2"/>
    <d v="1899-12-30T08:00:00"/>
    <x v="1"/>
  </r>
  <r>
    <x v="1"/>
    <x v="48"/>
    <s v="Sat"/>
    <x v="2"/>
    <m/>
    <x v="2"/>
    <x v="2"/>
    <d v="1899-12-30T08:00:00"/>
    <x v="1"/>
  </r>
  <r>
    <x v="1"/>
    <x v="49"/>
    <s v="Sun"/>
    <x v="106"/>
    <d v="1899-12-30T23:58:00"/>
    <x v="87"/>
    <x v="118"/>
    <d v="1899-12-30T00:00:00"/>
    <x v="0"/>
  </r>
  <r>
    <x v="1"/>
    <x v="50"/>
    <s v="Mon"/>
    <x v="33"/>
    <d v="1899-12-30T20:36:00"/>
    <x v="31"/>
    <x v="119"/>
    <d v="1899-12-30T00:00:00"/>
    <x v="0"/>
  </r>
  <r>
    <x v="1"/>
    <x v="51"/>
    <s v="Tue"/>
    <x v="107"/>
    <d v="1899-12-30T22:33:00"/>
    <x v="88"/>
    <x v="120"/>
    <d v="1899-12-30T00:00:00"/>
    <x v="0"/>
  </r>
  <r>
    <x v="1"/>
    <x v="52"/>
    <s v="Wed"/>
    <x v="108"/>
    <d v="1899-12-30T20:46:00"/>
    <x v="89"/>
    <x v="121"/>
    <d v="1899-12-30T00:00:00"/>
    <x v="0"/>
  </r>
  <r>
    <x v="1"/>
    <x v="53"/>
    <s v="Thu"/>
    <x v="109"/>
    <d v="1899-12-30T21:29:00"/>
    <x v="90"/>
    <x v="122"/>
    <d v="1899-12-30T00:00:00"/>
    <x v="0"/>
  </r>
  <r>
    <x v="1"/>
    <x v="54"/>
    <s v="Fri"/>
    <x v="2"/>
    <m/>
    <x v="2"/>
    <x v="2"/>
    <d v="1899-12-30T08:00:00"/>
    <x v="1"/>
  </r>
  <r>
    <x v="1"/>
    <x v="55"/>
    <s v="Sat"/>
    <x v="2"/>
    <m/>
    <x v="2"/>
    <x v="2"/>
    <d v="1899-12-30T08:00:00"/>
    <x v="1"/>
  </r>
  <r>
    <x v="1"/>
    <x v="56"/>
    <s v="Sun"/>
    <x v="17"/>
    <d v="1899-12-30T20:20:00"/>
    <x v="16"/>
    <x v="34"/>
    <d v="1899-12-30T00:00:00"/>
    <x v="0"/>
  </r>
  <r>
    <x v="1"/>
    <x v="57"/>
    <s v="Mon"/>
    <x v="62"/>
    <d v="1899-12-30T20:29:00"/>
    <x v="53"/>
    <x v="123"/>
    <d v="1899-12-30T00:00:00"/>
    <x v="0"/>
  </r>
  <r>
    <x v="1"/>
    <x v="58"/>
    <s v="Tue"/>
    <x v="70"/>
    <d v="1899-12-30T21:37:00"/>
    <x v="58"/>
    <x v="120"/>
    <d v="1899-12-30T00:00:00"/>
    <x v="0"/>
  </r>
  <r>
    <x v="1"/>
    <x v="59"/>
    <s v="Wed"/>
    <x v="2"/>
    <m/>
    <x v="2"/>
    <x v="2"/>
    <d v="1899-12-30T08:00:00"/>
    <x v="2"/>
  </r>
  <r>
    <x v="1"/>
    <x v="60"/>
    <s v="Thu"/>
    <x v="81"/>
    <d v="1899-12-30T21:47:00"/>
    <x v="66"/>
    <x v="124"/>
    <d v="1899-12-30T00:00:00"/>
    <x v="0"/>
  </r>
  <r>
    <x v="1"/>
    <x v="61"/>
    <s v="Fri"/>
    <x v="2"/>
    <m/>
    <x v="2"/>
    <x v="2"/>
    <d v="1899-12-30T08:00:00"/>
    <x v="1"/>
  </r>
  <r>
    <x v="1"/>
    <x v="62"/>
    <s v="Sat"/>
    <x v="2"/>
    <m/>
    <x v="2"/>
    <x v="2"/>
    <d v="1899-12-30T08:00:00"/>
    <x v="1"/>
  </r>
  <r>
    <x v="1"/>
    <x v="63"/>
    <s v="Sun"/>
    <x v="110"/>
    <d v="1899-12-30T21:56:00"/>
    <x v="91"/>
    <x v="90"/>
    <d v="1899-12-30T00:00:00"/>
    <x v="0"/>
  </r>
  <r>
    <x v="1"/>
    <x v="64"/>
    <s v="Mon"/>
    <x v="111"/>
    <d v="1899-12-30T21:51:00"/>
    <x v="92"/>
    <x v="15"/>
    <d v="1899-12-30T00:00:00"/>
    <x v="0"/>
  </r>
  <r>
    <x v="1"/>
    <x v="65"/>
    <s v="Tue"/>
    <x v="112"/>
    <d v="1899-12-30T21:55:00"/>
    <x v="93"/>
    <x v="118"/>
    <d v="1899-12-30T00:00:00"/>
    <x v="0"/>
  </r>
  <r>
    <x v="1"/>
    <x v="66"/>
    <s v="Wed"/>
    <x v="113"/>
    <d v="1899-12-30T23:19:00"/>
    <x v="94"/>
    <x v="34"/>
    <d v="1899-12-30T00:00:00"/>
    <x v="0"/>
  </r>
  <r>
    <x v="1"/>
    <x v="67"/>
    <s v="Thu"/>
    <x v="39"/>
    <d v="1899-12-30T20:25:00"/>
    <x v="37"/>
    <x v="96"/>
    <d v="1899-12-30T00:00:00"/>
    <x v="0"/>
  </r>
  <r>
    <x v="1"/>
    <x v="68"/>
    <s v="Fri"/>
    <x v="2"/>
    <m/>
    <x v="2"/>
    <x v="2"/>
    <d v="1899-12-30T08:00:00"/>
    <x v="1"/>
  </r>
  <r>
    <x v="1"/>
    <x v="69"/>
    <s v="Sat"/>
    <x v="2"/>
    <m/>
    <x v="2"/>
    <x v="2"/>
    <d v="1899-12-30T08:00:00"/>
    <x v="1"/>
  </r>
  <r>
    <x v="1"/>
    <x v="70"/>
    <s v="Sun"/>
    <x v="114"/>
    <d v="1899-12-30T21:26:00"/>
    <x v="2"/>
    <x v="19"/>
    <d v="1899-12-30T00:00:00"/>
    <x v="0"/>
  </r>
  <r>
    <x v="1"/>
    <x v="71"/>
    <s v="Mon"/>
    <x v="114"/>
    <d v="1899-12-30T21:58:00"/>
    <x v="2"/>
    <x v="125"/>
    <d v="1899-12-30T00:00:00"/>
    <x v="0"/>
  </r>
  <r>
    <x v="1"/>
    <x v="72"/>
    <s v="Tue"/>
    <x v="2"/>
    <m/>
    <x v="2"/>
    <x v="2"/>
    <d v="1899-12-30T08:00:00"/>
    <x v="5"/>
  </r>
  <r>
    <x v="1"/>
    <x v="73"/>
    <s v="Wed"/>
    <x v="115"/>
    <d v="1899-12-30T21:56:00"/>
    <x v="95"/>
    <x v="41"/>
    <d v="1899-12-30T00:00:00"/>
    <x v="0"/>
  </r>
  <r>
    <x v="1"/>
    <x v="74"/>
    <s v="Thu"/>
    <x v="103"/>
    <d v="1899-12-30T22:15:00"/>
    <x v="84"/>
    <x v="126"/>
    <d v="1899-12-30T00:00:00"/>
    <x v="0"/>
  </r>
  <r>
    <x v="1"/>
    <x v="75"/>
    <s v="Fri"/>
    <x v="2"/>
    <m/>
    <x v="2"/>
    <x v="2"/>
    <d v="1899-12-30T08:00:00"/>
    <x v="1"/>
  </r>
  <r>
    <x v="1"/>
    <x v="76"/>
    <s v="Sat"/>
    <x v="2"/>
    <m/>
    <x v="2"/>
    <x v="2"/>
    <d v="1899-12-30T08:00:00"/>
    <x v="1"/>
  </r>
  <r>
    <x v="1"/>
    <x v="77"/>
    <s v="Sun"/>
    <x v="116"/>
    <d v="1899-12-30T22:19:00"/>
    <x v="96"/>
    <x v="85"/>
    <d v="1899-12-30T00:00:00"/>
    <x v="0"/>
  </r>
  <r>
    <x v="1"/>
    <x v="78"/>
    <s v="Mon"/>
    <x v="117"/>
    <d v="1899-12-30T23:41:00"/>
    <x v="97"/>
    <x v="127"/>
    <d v="1899-12-30T00:00:00"/>
    <x v="0"/>
  </r>
  <r>
    <x v="1"/>
    <x v="79"/>
    <s v="Tue"/>
    <x v="4"/>
    <d v="1899-12-30T23:21:00"/>
    <x v="2"/>
    <x v="128"/>
    <d v="1899-12-30T00:00:00"/>
    <x v="0"/>
  </r>
  <r>
    <x v="1"/>
    <x v="80"/>
    <s v="Wed"/>
    <x v="118"/>
    <d v="1899-12-30T23:25:00"/>
    <x v="98"/>
    <x v="129"/>
    <d v="1899-12-30T00:00:00"/>
    <x v="0"/>
  </r>
  <r>
    <x v="1"/>
    <x v="81"/>
    <s v="Thu"/>
    <x v="42"/>
    <d v="1899-12-30T23:49:00"/>
    <x v="39"/>
    <x v="130"/>
    <d v="1899-12-30T00:00:00"/>
    <x v="0"/>
  </r>
  <r>
    <x v="1"/>
    <x v="82"/>
    <s v="Fri"/>
    <x v="2"/>
    <m/>
    <x v="2"/>
    <x v="2"/>
    <d v="1899-12-30T08:00:00"/>
    <x v="1"/>
  </r>
  <r>
    <x v="1"/>
    <x v="83"/>
    <s v="Sat"/>
    <x v="2"/>
    <m/>
    <x v="2"/>
    <x v="2"/>
    <d v="1899-12-30T08:00:00"/>
    <x v="1"/>
  </r>
  <r>
    <x v="1"/>
    <x v="84"/>
    <s v="Sun"/>
    <x v="0"/>
    <d v="1899-12-30T23:32:00"/>
    <x v="0"/>
    <x v="131"/>
    <d v="1899-12-30T00:00:00"/>
    <x v="0"/>
  </r>
  <r>
    <x v="1"/>
    <x v="85"/>
    <s v="Mon"/>
    <x v="119"/>
    <d v="1899-12-30T20:40:00"/>
    <x v="2"/>
    <x v="131"/>
    <d v="1899-12-30T00:00:00"/>
    <x v="0"/>
  </r>
  <r>
    <x v="1"/>
    <x v="86"/>
    <s v="Tue"/>
    <x v="120"/>
    <d v="1899-12-30T21:50:00"/>
    <x v="99"/>
    <x v="132"/>
    <d v="1899-12-30T00:00:00"/>
    <x v="0"/>
  </r>
  <r>
    <x v="1"/>
    <x v="87"/>
    <s v="Wed"/>
    <x v="121"/>
    <d v="1899-12-30T22:18:00"/>
    <x v="2"/>
    <x v="133"/>
    <d v="1899-12-30T00:00:00"/>
    <x v="0"/>
  </r>
  <r>
    <x v="1"/>
    <x v="88"/>
    <s v="Thu"/>
    <x v="122"/>
    <d v="1899-12-30T22:39:00"/>
    <x v="2"/>
    <x v="134"/>
    <d v="1899-12-30T00:00:00"/>
    <x v="0"/>
  </r>
  <r>
    <x v="1"/>
    <x v="89"/>
    <s v="Fri"/>
    <x v="2"/>
    <m/>
    <x v="2"/>
    <x v="2"/>
    <d v="1899-12-30T08:00:00"/>
    <x v="1"/>
  </r>
  <r>
    <x v="1"/>
    <x v="90"/>
    <s v="Sat"/>
    <x v="2"/>
    <m/>
    <x v="2"/>
    <x v="2"/>
    <d v="1899-12-30T08:00:00"/>
    <x v="1"/>
  </r>
  <r>
    <x v="1"/>
    <x v="91"/>
    <s v="Sun"/>
    <x v="123"/>
    <d v="1899-12-30T21:34:00"/>
    <x v="100"/>
    <x v="135"/>
    <d v="1899-12-30T00:00:00"/>
    <x v="0"/>
  </r>
  <r>
    <x v="1"/>
    <x v="92"/>
    <s v="Mon"/>
    <x v="124"/>
    <d v="1899-12-30T23:49:00"/>
    <x v="2"/>
    <x v="136"/>
    <d v="1899-12-30T00:00:00"/>
    <x v="0"/>
  </r>
  <r>
    <x v="1"/>
    <x v="93"/>
    <s v="Tue"/>
    <x v="125"/>
    <d v="1899-12-30T23:26:00"/>
    <x v="2"/>
    <x v="137"/>
    <d v="1899-12-30T00:00:00"/>
    <x v="0"/>
  </r>
  <r>
    <x v="1"/>
    <x v="94"/>
    <s v="Wed"/>
    <x v="126"/>
    <d v="1899-12-30T23:57:00"/>
    <x v="101"/>
    <x v="88"/>
    <d v="1899-12-30T00:00:00"/>
    <x v="0"/>
  </r>
  <r>
    <x v="1"/>
    <x v="95"/>
    <s v="Thu"/>
    <x v="127"/>
    <d v="1899-12-30T20:54:00"/>
    <x v="102"/>
    <x v="44"/>
    <d v="1899-12-30T00:00:00"/>
    <x v="0"/>
  </r>
  <r>
    <x v="1"/>
    <x v="96"/>
    <s v="Fri"/>
    <x v="2"/>
    <m/>
    <x v="2"/>
    <x v="2"/>
    <d v="1899-12-30T08:00:00"/>
    <x v="1"/>
  </r>
  <r>
    <x v="1"/>
    <x v="97"/>
    <s v="Sat"/>
    <x v="2"/>
    <m/>
    <x v="2"/>
    <x v="2"/>
    <d v="1899-12-30T08:00:00"/>
    <x v="1"/>
  </r>
  <r>
    <x v="1"/>
    <x v="98"/>
    <s v="Sun"/>
    <x v="128"/>
    <d v="1899-12-30T22:59:00"/>
    <x v="103"/>
    <x v="118"/>
    <d v="1899-12-30T00:00:00"/>
    <x v="0"/>
  </r>
  <r>
    <x v="1"/>
    <x v="99"/>
    <s v="Mon"/>
    <x v="5"/>
    <d v="1899-12-30T23:55:00"/>
    <x v="4"/>
    <x v="73"/>
    <d v="1899-12-30T00:00:00"/>
    <x v="0"/>
  </r>
  <r>
    <x v="1"/>
    <x v="100"/>
    <s v="Tue"/>
    <x v="129"/>
    <d v="1899-12-30T22:28:00"/>
    <x v="104"/>
    <x v="120"/>
    <d v="1899-12-30T00:00:00"/>
    <x v="0"/>
  </r>
  <r>
    <x v="1"/>
    <x v="101"/>
    <s v="Wed"/>
    <x v="79"/>
    <d v="1899-12-30T22:32:00"/>
    <x v="2"/>
    <x v="138"/>
    <d v="1899-12-30T00:00:00"/>
    <x v="0"/>
  </r>
  <r>
    <x v="1"/>
    <x v="102"/>
    <s v="Thu"/>
    <x v="48"/>
    <d v="1899-12-30T21:35:00"/>
    <x v="45"/>
    <x v="139"/>
    <d v="1899-12-30T00:00:00"/>
    <x v="0"/>
  </r>
  <r>
    <x v="1"/>
    <x v="103"/>
    <s v="Fri"/>
    <x v="2"/>
    <m/>
    <x v="2"/>
    <x v="2"/>
    <d v="1899-12-30T08:00:00"/>
    <x v="1"/>
  </r>
  <r>
    <x v="1"/>
    <x v="104"/>
    <s v="Sat"/>
    <x v="2"/>
    <m/>
    <x v="2"/>
    <x v="2"/>
    <d v="1899-12-30T08:00:00"/>
    <x v="1"/>
  </r>
  <r>
    <x v="1"/>
    <x v="105"/>
    <s v="Sun"/>
    <x v="130"/>
    <d v="1899-12-30T20:37:00"/>
    <x v="105"/>
    <x v="140"/>
    <d v="1899-12-30T00:00:00"/>
    <x v="0"/>
  </r>
  <r>
    <x v="1"/>
    <x v="106"/>
    <s v="Mon"/>
    <x v="131"/>
    <d v="1899-12-30T23:48:00"/>
    <x v="106"/>
    <x v="141"/>
    <d v="1899-12-30T00:00:00"/>
    <x v="0"/>
  </r>
  <r>
    <x v="1"/>
    <x v="107"/>
    <s v="Tue"/>
    <x v="101"/>
    <d v="1899-12-30T21:49:00"/>
    <x v="83"/>
    <x v="142"/>
    <d v="1899-12-30T00:00:00"/>
    <x v="0"/>
  </r>
  <r>
    <x v="1"/>
    <x v="108"/>
    <s v="Wed"/>
    <x v="132"/>
    <d v="1899-12-30T21:39:00"/>
    <x v="107"/>
    <x v="143"/>
    <d v="1899-12-30T00:00:00"/>
    <x v="0"/>
  </r>
  <r>
    <x v="1"/>
    <x v="109"/>
    <s v="Thu"/>
    <x v="46"/>
    <d v="1899-12-30T21:33:00"/>
    <x v="43"/>
    <x v="144"/>
    <d v="1899-12-30T00:00:00"/>
    <x v="0"/>
  </r>
  <r>
    <x v="1"/>
    <x v="110"/>
    <s v="Fri"/>
    <x v="2"/>
    <m/>
    <x v="2"/>
    <x v="2"/>
    <d v="1899-12-30T08:00:00"/>
    <x v="1"/>
  </r>
  <r>
    <x v="1"/>
    <x v="111"/>
    <s v="Sat"/>
    <x v="2"/>
    <m/>
    <x v="2"/>
    <x v="2"/>
    <d v="1899-12-30T08:00:00"/>
    <x v="1"/>
  </r>
  <r>
    <x v="1"/>
    <x v="112"/>
    <s v="Sun"/>
    <x v="133"/>
    <d v="1899-12-30T22:30:00"/>
    <x v="108"/>
    <x v="145"/>
    <d v="1899-12-30T00:00:00"/>
    <x v="0"/>
  </r>
  <r>
    <x v="1"/>
    <x v="113"/>
    <s v="Mon"/>
    <x v="58"/>
    <d v="1899-12-30T20:46:00"/>
    <x v="50"/>
    <x v="146"/>
    <d v="1899-12-30T00:00:00"/>
    <x v="0"/>
  </r>
  <r>
    <x v="1"/>
    <x v="114"/>
    <s v="Tue"/>
    <x v="134"/>
    <d v="1899-12-30T21:58:00"/>
    <x v="109"/>
    <x v="147"/>
    <d v="1899-12-30T00:00:00"/>
    <x v="0"/>
  </r>
  <r>
    <x v="1"/>
    <x v="115"/>
    <s v="Wed"/>
    <x v="135"/>
    <d v="1899-12-30T20:42:00"/>
    <x v="110"/>
    <x v="148"/>
    <d v="1899-12-30T00:00:00"/>
    <x v="0"/>
  </r>
  <r>
    <x v="1"/>
    <x v="116"/>
    <s v="Thu"/>
    <x v="135"/>
    <d v="1899-12-30T23:41:00"/>
    <x v="110"/>
    <x v="41"/>
    <d v="1899-12-30T00:00:00"/>
    <x v="0"/>
  </r>
  <r>
    <x v="1"/>
    <x v="117"/>
    <s v="Fri"/>
    <x v="2"/>
    <m/>
    <x v="2"/>
    <x v="2"/>
    <d v="1899-12-30T08:00:00"/>
    <x v="1"/>
  </r>
  <r>
    <x v="1"/>
    <x v="118"/>
    <s v="Sat"/>
    <x v="2"/>
    <m/>
    <x v="2"/>
    <x v="2"/>
    <d v="1899-12-30T08:00:00"/>
    <x v="1"/>
  </r>
  <r>
    <x v="1"/>
    <x v="119"/>
    <s v="Sun"/>
    <x v="87"/>
    <d v="1899-12-30T21:32:00"/>
    <x v="70"/>
    <x v="14"/>
    <d v="1899-12-30T00:00:00"/>
    <x v="0"/>
  </r>
  <r>
    <x v="1"/>
    <x v="120"/>
    <s v="Mon"/>
    <x v="2"/>
    <m/>
    <x v="2"/>
    <x v="2"/>
    <d v="1899-12-30T08:00:00"/>
    <x v="6"/>
  </r>
  <r>
    <x v="1"/>
    <x v="121"/>
    <s v="Tue"/>
    <x v="136"/>
    <d v="1899-12-30T22:31:00"/>
    <x v="2"/>
    <x v="149"/>
    <d v="1899-12-30T00:00:00"/>
    <x v="0"/>
  </r>
  <r>
    <x v="1"/>
    <x v="122"/>
    <s v="Wed"/>
    <x v="137"/>
    <d v="1899-12-30T21:58:00"/>
    <x v="111"/>
    <x v="150"/>
    <d v="1899-12-30T00:00:00"/>
    <x v="0"/>
  </r>
  <r>
    <x v="1"/>
    <x v="123"/>
    <s v="Thu"/>
    <x v="132"/>
    <d v="1899-12-30T22:23:00"/>
    <x v="107"/>
    <x v="51"/>
    <d v="1899-12-30T00:00:00"/>
    <x v="0"/>
  </r>
  <r>
    <x v="1"/>
    <x v="124"/>
    <s v="Fri"/>
    <x v="2"/>
    <m/>
    <x v="2"/>
    <x v="2"/>
    <d v="1899-12-30T08:00:00"/>
    <x v="1"/>
  </r>
  <r>
    <x v="1"/>
    <x v="125"/>
    <s v="Sat"/>
    <x v="2"/>
    <m/>
    <x v="2"/>
    <x v="2"/>
    <d v="1899-12-30T08:00:00"/>
    <x v="1"/>
  </r>
  <r>
    <x v="1"/>
    <x v="126"/>
    <s v="Sun"/>
    <x v="62"/>
    <d v="1899-12-30T21:33:00"/>
    <x v="53"/>
    <x v="151"/>
    <d v="1899-12-30T00:00:00"/>
    <x v="0"/>
  </r>
  <r>
    <x v="1"/>
    <x v="127"/>
    <s v="Mon"/>
    <x v="138"/>
    <d v="1899-12-30T21:25:00"/>
    <x v="112"/>
    <x v="152"/>
    <d v="1899-12-30T00:00:00"/>
    <x v="0"/>
  </r>
  <r>
    <x v="1"/>
    <x v="128"/>
    <s v="Tue"/>
    <x v="139"/>
    <d v="1899-12-30T23:58:00"/>
    <x v="113"/>
    <x v="153"/>
    <d v="1899-12-30T00:00:00"/>
    <x v="0"/>
  </r>
  <r>
    <x v="1"/>
    <x v="129"/>
    <s v="Wed"/>
    <x v="140"/>
    <d v="1899-12-30T22:55:00"/>
    <x v="114"/>
    <x v="49"/>
    <d v="1899-12-30T00:00:00"/>
    <x v="0"/>
  </r>
  <r>
    <x v="1"/>
    <x v="130"/>
    <s v="Thu"/>
    <x v="84"/>
    <d v="1899-12-30T21:16:00"/>
    <x v="68"/>
    <x v="154"/>
    <d v="1899-12-30T00:00:00"/>
    <x v="0"/>
  </r>
  <r>
    <x v="1"/>
    <x v="131"/>
    <s v="Fri"/>
    <x v="2"/>
    <m/>
    <x v="2"/>
    <x v="2"/>
    <d v="1899-12-30T08:00:00"/>
    <x v="1"/>
  </r>
  <r>
    <x v="1"/>
    <x v="132"/>
    <s v="Sat"/>
    <x v="2"/>
    <m/>
    <x v="2"/>
    <x v="2"/>
    <d v="1899-12-30T08:00:00"/>
    <x v="1"/>
  </r>
  <r>
    <x v="1"/>
    <x v="133"/>
    <s v="Sun"/>
    <x v="28"/>
    <d v="1899-12-30T22:50:00"/>
    <x v="26"/>
    <x v="104"/>
    <d v="1899-12-30T00:00:00"/>
    <x v="0"/>
  </r>
  <r>
    <x v="1"/>
    <x v="134"/>
    <s v="Mon"/>
    <x v="123"/>
    <d v="1899-12-30T21:30:00"/>
    <x v="100"/>
    <x v="155"/>
    <d v="1899-12-30T00:00:00"/>
    <x v="0"/>
  </r>
  <r>
    <x v="1"/>
    <x v="135"/>
    <s v="Tue"/>
    <x v="90"/>
    <d v="1899-12-30T21:20:00"/>
    <x v="73"/>
    <x v="156"/>
    <d v="1899-12-30T00:00:00"/>
    <x v="0"/>
  </r>
  <r>
    <x v="1"/>
    <x v="136"/>
    <s v="Wed"/>
    <x v="64"/>
    <d v="1899-12-30T23:47:00"/>
    <x v="54"/>
    <x v="157"/>
    <d v="1899-12-30T00:00:00"/>
    <x v="0"/>
  </r>
  <r>
    <x v="1"/>
    <x v="137"/>
    <s v="Thu"/>
    <x v="58"/>
    <d v="1899-12-30T22:28:00"/>
    <x v="50"/>
    <x v="158"/>
    <d v="1899-12-30T00:00:00"/>
    <x v="0"/>
  </r>
  <r>
    <x v="1"/>
    <x v="138"/>
    <s v="Fri"/>
    <x v="2"/>
    <m/>
    <x v="2"/>
    <x v="2"/>
    <d v="1899-12-30T08:00:00"/>
    <x v="1"/>
  </r>
  <r>
    <x v="1"/>
    <x v="139"/>
    <s v="Sat"/>
    <x v="2"/>
    <m/>
    <x v="2"/>
    <x v="2"/>
    <d v="1899-12-30T08:00:00"/>
    <x v="1"/>
  </r>
  <r>
    <x v="1"/>
    <x v="140"/>
    <s v="Sun"/>
    <x v="141"/>
    <d v="1899-12-30T22:41:00"/>
    <x v="115"/>
    <x v="100"/>
    <d v="1899-12-30T00:00:00"/>
    <x v="0"/>
  </r>
  <r>
    <x v="1"/>
    <x v="141"/>
    <s v="Mon"/>
    <x v="2"/>
    <m/>
    <x v="2"/>
    <x v="2"/>
    <d v="1899-12-30T08:00:00"/>
    <x v="2"/>
  </r>
  <r>
    <x v="1"/>
    <x v="142"/>
    <s v="Tue"/>
    <x v="142"/>
    <d v="1899-12-30T20:58:00"/>
    <x v="2"/>
    <x v="159"/>
    <d v="1899-12-30T00:00:00"/>
    <x v="0"/>
  </r>
  <r>
    <x v="1"/>
    <x v="143"/>
    <s v="Wed"/>
    <x v="143"/>
    <d v="1899-12-30T21:45:00"/>
    <x v="116"/>
    <x v="160"/>
    <d v="1899-12-30T00:00:00"/>
    <x v="0"/>
  </r>
  <r>
    <x v="1"/>
    <x v="144"/>
    <s v="Thu"/>
    <x v="132"/>
    <d v="1899-12-30T20:50:00"/>
    <x v="107"/>
    <x v="161"/>
    <d v="1899-12-30T00:00:00"/>
    <x v="0"/>
  </r>
  <r>
    <x v="1"/>
    <x v="145"/>
    <s v="Fri"/>
    <x v="2"/>
    <m/>
    <x v="2"/>
    <x v="2"/>
    <d v="1899-12-30T08:00:00"/>
    <x v="1"/>
  </r>
  <r>
    <x v="1"/>
    <x v="146"/>
    <s v="Sat"/>
    <x v="2"/>
    <m/>
    <x v="2"/>
    <x v="2"/>
    <d v="1899-12-30T08:00:00"/>
    <x v="1"/>
  </r>
  <r>
    <x v="1"/>
    <x v="147"/>
    <s v="Sun"/>
    <x v="2"/>
    <m/>
    <x v="2"/>
    <x v="2"/>
    <d v="1899-12-30T08:00:00"/>
    <x v="2"/>
  </r>
  <r>
    <x v="1"/>
    <x v="148"/>
    <s v="Mon"/>
    <x v="73"/>
    <d v="1899-12-30T21:57:00"/>
    <x v="61"/>
    <x v="132"/>
    <d v="1899-12-30T00:00:00"/>
    <x v="0"/>
  </r>
  <r>
    <x v="1"/>
    <x v="149"/>
    <s v="Tue"/>
    <x v="2"/>
    <m/>
    <x v="2"/>
    <x v="2"/>
    <d v="1899-12-30T08:00:00"/>
    <x v="2"/>
  </r>
  <r>
    <x v="1"/>
    <x v="150"/>
    <s v="Wed"/>
    <x v="144"/>
    <d v="1899-12-30T21:23:00"/>
    <x v="117"/>
    <x v="126"/>
    <d v="1899-12-30T00:00:00"/>
    <x v="0"/>
  </r>
  <r>
    <x v="2"/>
    <x v="0"/>
    <s v="Thu"/>
    <x v="145"/>
    <d v="1899-12-30T20:55:00"/>
    <x v="118"/>
    <x v="162"/>
    <d v="1899-12-30T00:00:00"/>
    <x v="0"/>
  </r>
  <r>
    <x v="2"/>
    <x v="1"/>
    <s v="Fri"/>
    <x v="2"/>
    <m/>
    <x v="2"/>
    <x v="2"/>
    <d v="1899-12-30T08:00:00"/>
    <x v="1"/>
  </r>
  <r>
    <x v="2"/>
    <x v="2"/>
    <s v="Sat"/>
    <x v="2"/>
    <m/>
    <x v="2"/>
    <x v="2"/>
    <d v="1899-12-30T08:00:00"/>
    <x v="1"/>
  </r>
  <r>
    <x v="2"/>
    <x v="3"/>
    <s v="Sun"/>
    <x v="146"/>
    <d v="1899-12-30T22:48:00"/>
    <x v="119"/>
    <x v="163"/>
    <d v="1899-12-30T00:00:00"/>
    <x v="0"/>
  </r>
  <r>
    <x v="2"/>
    <x v="4"/>
    <s v="Mon"/>
    <x v="16"/>
    <d v="1899-12-30T21:22:00"/>
    <x v="15"/>
    <x v="34"/>
    <d v="1899-12-30T00:00:00"/>
    <x v="0"/>
  </r>
  <r>
    <x v="2"/>
    <x v="5"/>
    <s v="Tue"/>
    <x v="98"/>
    <d v="1899-12-30T23:50:00"/>
    <x v="81"/>
    <x v="31"/>
    <d v="1899-12-30T00:00:00"/>
    <x v="0"/>
  </r>
  <r>
    <x v="2"/>
    <x v="6"/>
    <s v="Wed"/>
    <x v="21"/>
    <d v="1899-12-30T21:21:00"/>
    <x v="20"/>
    <x v="141"/>
    <d v="1899-12-30T00:00:00"/>
    <x v="0"/>
  </r>
  <r>
    <x v="2"/>
    <x v="7"/>
    <s v="Thu"/>
    <x v="147"/>
    <d v="1899-12-30T20:39:00"/>
    <x v="120"/>
    <x v="164"/>
    <d v="1899-12-30T00:00:00"/>
    <x v="0"/>
  </r>
  <r>
    <x v="2"/>
    <x v="8"/>
    <s v="Fri"/>
    <x v="2"/>
    <m/>
    <x v="2"/>
    <x v="2"/>
    <d v="1899-12-30T08:00:00"/>
    <x v="1"/>
  </r>
  <r>
    <x v="2"/>
    <x v="9"/>
    <s v="Sat"/>
    <x v="2"/>
    <m/>
    <x v="2"/>
    <x v="2"/>
    <d v="1899-12-30T08:00:00"/>
    <x v="1"/>
  </r>
  <r>
    <x v="2"/>
    <x v="10"/>
    <s v="Sun"/>
    <x v="148"/>
    <d v="1899-12-30T20:27:00"/>
    <x v="2"/>
    <x v="69"/>
    <d v="1899-12-30T00:00:00"/>
    <x v="0"/>
  </r>
  <r>
    <x v="2"/>
    <x v="11"/>
    <s v="Mon"/>
    <x v="149"/>
    <d v="1899-12-30T20:58:00"/>
    <x v="2"/>
    <x v="165"/>
    <d v="1899-12-30T00:00:00"/>
    <x v="0"/>
  </r>
  <r>
    <x v="2"/>
    <x v="12"/>
    <s v="Tue"/>
    <x v="58"/>
    <d v="1899-12-30T20:39:00"/>
    <x v="50"/>
    <x v="166"/>
    <d v="1899-12-30T00:00:00"/>
    <x v="0"/>
  </r>
  <r>
    <x v="2"/>
    <x v="13"/>
    <s v="Wed"/>
    <x v="41"/>
    <d v="1899-12-30T20:16:00"/>
    <x v="2"/>
    <x v="167"/>
    <d v="1899-12-30T00:00:00"/>
    <x v="3"/>
  </r>
  <r>
    <x v="2"/>
    <x v="14"/>
    <s v="Thu"/>
    <x v="120"/>
    <d v="1899-12-30T23:23:00"/>
    <x v="99"/>
    <x v="168"/>
    <d v="1899-12-30T00:00:00"/>
    <x v="0"/>
  </r>
  <r>
    <x v="2"/>
    <x v="15"/>
    <s v="Fri"/>
    <x v="2"/>
    <m/>
    <x v="2"/>
    <x v="2"/>
    <d v="1899-12-30T08:00:00"/>
    <x v="1"/>
  </r>
  <r>
    <x v="2"/>
    <x v="16"/>
    <s v="Sat"/>
    <x v="2"/>
    <m/>
    <x v="2"/>
    <x v="2"/>
    <d v="1899-12-30T08:00:00"/>
    <x v="1"/>
  </r>
  <r>
    <x v="2"/>
    <x v="17"/>
    <s v="Sun"/>
    <x v="121"/>
    <d v="1899-12-30T23:35:00"/>
    <x v="2"/>
    <x v="169"/>
    <d v="1899-12-30T00:00:00"/>
    <x v="0"/>
  </r>
  <r>
    <x v="2"/>
    <x v="18"/>
    <s v="Mon"/>
    <x v="125"/>
    <d v="1899-12-30T22:28:00"/>
    <x v="2"/>
    <x v="170"/>
    <d v="1899-12-30T00:00:00"/>
    <x v="0"/>
  </r>
  <r>
    <x v="2"/>
    <x v="19"/>
    <s v="Tue"/>
    <x v="146"/>
    <d v="1899-12-30T20:43:00"/>
    <x v="119"/>
    <x v="171"/>
    <d v="1899-12-30T00:00:00"/>
    <x v="0"/>
  </r>
  <r>
    <x v="2"/>
    <x v="20"/>
    <s v="Wed"/>
    <x v="31"/>
    <d v="1899-12-30T21:36:00"/>
    <x v="29"/>
    <x v="172"/>
    <d v="1899-12-30T00:00:00"/>
    <x v="0"/>
  </r>
  <r>
    <x v="2"/>
    <x v="21"/>
    <s v="Thu"/>
    <x v="126"/>
    <d v="1899-12-30T22:20:00"/>
    <x v="101"/>
    <x v="173"/>
    <d v="1899-12-30T00:00:00"/>
    <x v="0"/>
  </r>
  <r>
    <x v="2"/>
    <x v="22"/>
    <s v="Fri"/>
    <x v="2"/>
    <m/>
    <x v="2"/>
    <x v="2"/>
    <d v="1899-12-30T08:00:00"/>
    <x v="1"/>
  </r>
  <r>
    <x v="2"/>
    <x v="23"/>
    <s v="Sat"/>
    <x v="2"/>
    <m/>
    <x v="2"/>
    <x v="2"/>
    <d v="1899-12-30T08:00:00"/>
    <x v="1"/>
  </r>
  <r>
    <x v="2"/>
    <x v="24"/>
    <s v="Sun"/>
    <x v="150"/>
    <d v="1899-12-30T20:52:00"/>
    <x v="121"/>
    <x v="174"/>
    <d v="1899-12-30T00:00:00"/>
    <x v="0"/>
  </r>
  <r>
    <x v="2"/>
    <x v="25"/>
    <s v="Mon"/>
    <x v="2"/>
    <m/>
    <x v="2"/>
    <x v="2"/>
    <d v="1899-12-30T08:00:00"/>
    <x v="4"/>
  </r>
  <r>
    <x v="2"/>
    <x v="26"/>
    <s v="Tue"/>
    <x v="13"/>
    <d v="1899-12-30T21:16:00"/>
    <x v="12"/>
    <x v="8"/>
    <d v="1899-12-30T00:00:00"/>
    <x v="0"/>
  </r>
  <r>
    <x v="2"/>
    <x v="27"/>
    <s v="Wed"/>
    <x v="138"/>
    <d v="1899-12-30T20:37:00"/>
    <x v="112"/>
    <x v="175"/>
    <d v="1899-12-30T00:00:00"/>
    <x v="0"/>
  </r>
  <r>
    <x v="2"/>
    <x v="28"/>
    <s v="Thu"/>
    <x v="14"/>
    <d v="1899-12-30T20:30:00"/>
    <x v="13"/>
    <x v="92"/>
    <d v="1899-12-30T00:00:00"/>
    <x v="0"/>
  </r>
  <r>
    <x v="2"/>
    <x v="29"/>
    <s v="Fri"/>
    <x v="2"/>
    <m/>
    <x v="2"/>
    <x v="2"/>
    <d v="1899-12-30T08:00:00"/>
    <x v="1"/>
  </r>
  <r>
    <x v="2"/>
    <x v="30"/>
    <s v="Sat"/>
    <x v="2"/>
    <m/>
    <x v="2"/>
    <x v="2"/>
    <d v="1899-12-30T08:00:00"/>
    <x v="1"/>
  </r>
  <r>
    <x v="2"/>
    <x v="31"/>
    <s v="Sun"/>
    <x v="151"/>
    <d v="1899-12-30T21:19:00"/>
    <x v="122"/>
    <x v="176"/>
    <d v="1899-12-30T00:00:00"/>
    <x v="0"/>
  </r>
  <r>
    <x v="2"/>
    <x v="32"/>
    <s v="Mon"/>
    <x v="152"/>
    <d v="1899-12-30T21:25:00"/>
    <x v="123"/>
    <x v="53"/>
    <d v="1899-12-30T00:00:00"/>
    <x v="0"/>
  </r>
  <r>
    <x v="2"/>
    <x v="33"/>
    <s v="Tue"/>
    <x v="116"/>
    <d v="1899-12-30T23:54:00"/>
    <x v="96"/>
    <x v="177"/>
    <d v="1899-12-30T00:00:00"/>
    <x v="0"/>
  </r>
  <r>
    <x v="2"/>
    <x v="34"/>
    <s v="Wed"/>
    <x v="108"/>
    <d v="1899-12-30T23:45:00"/>
    <x v="89"/>
    <x v="13"/>
    <d v="1899-12-30T00:00:00"/>
    <x v="0"/>
  </r>
  <r>
    <x v="2"/>
    <x v="35"/>
    <s v="Thu"/>
    <x v="23"/>
    <d v="1899-12-30T23:42:00"/>
    <x v="22"/>
    <x v="178"/>
    <d v="1899-12-30T00:00:00"/>
    <x v="0"/>
  </r>
  <r>
    <x v="2"/>
    <x v="36"/>
    <s v="Fri"/>
    <x v="2"/>
    <m/>
    <x v="2"/>
    <x v="2"/>
    <d v="1899-12-30T08:00:00"/>
    <x v="1"/>
  </r>
  <r>
    <x v="2"/>
    <x v="37"/>
    <s v="Sat"/>
    <x v="2"/>
    <m/>
    <x v="2"/>
    <x v="2"/>
    <d v="1899-12-30T08:00:00"/>
    <x v="1"/>
  </r>
  <r>
    <x v="2"/>
    <x v="38"/>
    <s v="Sun"/>
    <x v="13"/>
    <d v="1899-12-30T22:41:00"/>
    <x v="12"/>
    <x v="179"/>
    <d v="1899-12-30T00:00:00"/>
    <x v="0"/>
  </r>
  <r>
    <x v="2"/>
    <x v="39"/>
    <s v="Mon"/>
    <x v="153"/>
    <d v="1899-12-30T23:36:00"/>
    <x v="124"/>
    <x v="23"/>
    <d v="1899-12-30T00:00:00"/>
    <x v="0"/>
  </r>
  <r>
    <x v="2"/>
    <x v="40"/>
    <s v="Tue"/>
    <x v="154"/>
    <d v="1899-12-30T23:42:00"/>
    <x v="125"/>
    <x v="25"/>
    <d v="1899-12-30T00:00:00"/>
    <x v="0"/>
  </r>
  <r>
    <x v="2"/>
    <x v="41"/>
    <s v="Wed"/>
    <x v="151"/>
    <d v="1899-12-30T20:55:00"/>
    <x v="122"/>
    <x v="180"/>
    <d v="1899-12-30T00:00:00"/>
    <x v="0"/>
  </r>
  <r>
    <x v="2"/>
    <x v="42"/>
    <s v="Thu"/>
    <x v="42"/>
    <d v="1899-12-30T21:52:00"/>
    <x v="39"/>
    <x v="105"/>
    <d v="1899-12-30T00:00:00"/>
    <x v="0"/>
  </r>
  <r>
    <x v="2"/>
    <x v="43"/>
    <s v="Fri"/>
    <x v="2"/>
    <m/>
    <x v="2"/>
    <x v="2"/>
    <d v="1899-12-30T08:00:00"/>
    <x v="1"/>
  </r>
  <r>
    <x v="2"/>
    <x v="44"/>
    <s v="Sat"/>
    <x v="2"/>
    <m/>
    <x v="2"/>
    <x v="2"/>
    <d v="1899-12-30T08:00:00"/>
    <x v="1"/>
  </r>
  <r>
    <x v="2"/>
    <x v="45"/>
    <s v="Sun"/>
    <x v="87"/>
    <d v="1899-12-30T20:56:00"/>
    <x v="70"/>
    <x v="82"/>
    <d v="1899-12-30T00:00:00"/>
    <x v="0"/>
  </r>
  <r>
    <x v="2"/>
    <x v="46"/>
    <s v="Mon"/>
    <x v="10"/>
    <d v="1899-12-30T22:16:00"/>
    <x v="9"/>
    <x v="181"/>
    <d v="1899-12-30T00:00:00"/>
    <x v="0"/>
  </r>
  <r>
    <x v="2"/>
    <x v="47"/>
    <s v="Tue"/>
    <x v="155"/>
    <d v="1899-12-30T21:37:00"/>
    <x v="126"/>
    <x v="182"/>
    <d v="1899-12-30T00:00:00"/>
    <x v="0"/>
  </r>
  <r>
    <x v="2"/>
    <x v="48"/>
    <s v="Wed"/>
    <x v="156"/>
    <d v="1899-12-30T23:47:00"/>
    <x v="127"/>
    <x v="31"/>
    <d v="1899-12-30T00:00:00"/>
    <x v="0"/>
  </r>
  <r>
    <x v="2"/>
    <x v="49"/>
    <s v="Thu"/>
    <x v="86"/>
    <d v="1899-12-30T20:32:00"/>
    <x v="69"/>
    <x v="144"/>
    <d v="1899-12-30T00:00:00"/>
    <x v="0"/>
  </r>
  <r>
    <x v="2"/>
    <x v="50"/>
    <s v="Fri"/>
    <x v="2"/>
    <m/>
    <x v="2"/>
    <x v="2"/>
    <d v="1899-12-30T08:00:00"/>
    <x v="1"/>
  </r>
  <r>
    <x v="2"/>
    <x v="51"/>
    <s v="Sat"/>
    <x v="2"/>
    <m/>
    <x v="2"/>
    <x v="2"/>
    <d v="1899-12-30T08:00:00"/>
    <x v="1"/>
  </r>
  <r>
    <x v="2"/>
    <x v="52"/>
    <s v="Sun"/>
    <x v="157"/>
    <d v="1899-12-30T21:54:00"/>
    <x v="128"/>
    <x v="13"/>
    <d v="1899-12-30T00:00:00"/>
    <x v="0"/>
  </r>
  <r>
    <x v="2"/>
    <x v="53"/>
    <s v="Mon"/>
    <x v="136"/>
    <d v="1899-12-30T20:45:00"/>
    <x v="2"/>
    <x v="153"/>
    <d v="1899-12-30T00:00:00"/>
    <x v="0"/>
  </r>
  <r>
    <x v="2"/>
    <x v="54"/>
    <s v="Tue"/>
    <x v="99"/>
    <d v="1899-12-30T21:27:00"/>
    <x v="82"/>
    <x v="35"/>
    <d v="1899-12-30T00:00:00"/>
    <x v="0"/>
  </r>
  <r>
    <x v="2"/>
    <x v="55"/>
    <s v="Wed"/>
    <x v="3"/>
    <d v="1899-12-30T20:36:00"/>
    <x v="3"/>
    <x v="183"/>
    <d v="1899-12-30T00:00:00"/>
    <x v="0"/>
  </r>
  <r>
    <x v="2"/>
    <x v="56"/>
    <s v="Thu"/>
    <x v="158"/>
    <d v="1899-12-30T21:16:00"/>
    <x v="129"/>
    <x v="130"/>
    <d v="1899-12-30T00:00:00"/>
    <x v="0"/>
  </r>
  <r>
    <x v="2"/>
    <x v="57"/>
    <s v="Fri"/>
    <x v="2"/>
    <m/>
    <x v="2"/>
    <x v="2"/>
    <d v="1899-12-30T08:00:00"/>
    <x v="1"/>
  </r>
  <r>
    <x v="2"/>
    <x v="58"/>
    <s v="Sat"/>
    <x v="2"/>
    <m/>
    <x v="2"/>
    <x v="2"/>
    <d v="1899-12-30T08:00:00"/>
    <x v="1"/>
  </r>
  <r>
    <x v="2"/>
    <x v="59"/>
    <s v="Sun"/>
    <x v="87"/>
    <d v="1899-12-30T22:49:00"/>
    <x v="70"/>
    <x v="184"/>
    <d v="1899-12-30T00:00:00"/>
    <x v="0"/>
  </r>
  <r>
    <x v="2"/>
    <x v="60"/>
    <s v="Mon"/>
    <x v="2"/>
    <m/>
    <x v="2"/>
    <x v="2"/>
    <d v="1899-12-30T08:00:00"/>
    <x v="2"/>
  </r>
  <r>
    <x v="2"/>
    <x v="61"/>
    <s v="Tue"/>
    <x v="2"/>
    <m/>
    <x v="2"/>
    <x v="2"/>
    <d v="1899-12-30T08:00:00"/>
    <x v="2"/>
  </r>
  <r>
    <x v="2"/>
    <x v="62"/>
    <s v="Wed"/>
    <x v="2"/>
    <m/>
    <x v="2"/>
    <x v="2"/>
    <d v="1899-12-30T08:00:00"/>
    <x v="2"/>
  </r>
  <r>
    <x v="2"/>
    <x v="63"/>
    <s v="Thu"/>
    <x v="156"/>
    <d v="1899-12-30T21:23:00"/>
    <x v="127"/>
    <x v="185"/>
    <d v="1899-12-30T00:00:00"/>
    <x v="0"/>
  </r>
  <r>
    <x v="2"/>
    <x v="64"/>
    <s v="Fri"/>
    <x v="2"/>
    <m/>
    <x v="2"/>
    <x v="2"/>
    <d v="1899-12-30T08:00:00"/>
    <x v="1"/>
  </r>
  <r>
    <x v="2"/>
    <x v="65"/>
    <s v="Sat"/>
    <x v="2"/>
    <m/>
    <x v="2"/>
    <x v="2"/>
    <d v="1899-12-30T08:00:00"/>
    <x v="1"/>
  </r>
  <r>
    <x v="2"/>
    <x v="66"/>
    <s v="Sun"/>
    <x v="76"/>
    <d v="1899-12-30T22:26:00"/>
    <x v="2"/>
    <x v="177"/>
    <d v="1899-12-30T00:00:00"/>
    <x v="0"/>
  </r>
  <r>
    <x v="2"/>
    <x v="67"/>
    <s v="Mon"/>
    <x v="159"/>
    <d v="1899-12-30T20:18:00"/>
    <x v="130"/>
    <x v="186"/>
    <d v="1899-12-30T00:00:00"/>
    <x v="0"/>
  </r>
  <r>
    <x v="2"/>
    <x v="68"/>
    <s v="Tue"/>
    <x v="160"/>
    <d v="1899-12-30T22:54:00"/>
    <x v="131"/>
    <x v="61"/>
    <d v="1899-12-30T00:00:00"/>
    <x v="0"/>
  </r>
  <r>
    <x v="2"/>
    <x v="69"/>
    <s v="Wed"/>
    <x v="161"/>
    <d v="1899-12-30T20:39:00"/>
    <x v="132"/>
    <x v="187"/>
    <d v="1899-12-30T00:00:00"/>
    <x v="0"/>
  </r>
  <r>
    <x v="2"/>
    <x v="70"/>
    <s v="Thu"/>
    <x v="162"/>
    <d v="1899-12-30T21:55:00"/>
    <x v="133"/>
    <x v="188"/>
    <d v="1899-12-30T00:00:00"/>
    <x v="0"/>
  </r>
  <r>
    <x v="2"/>
    <x v="71"/>
    <s v="Fri"/>
    <x v="2"/>
    <m/>
    <x v="2"/>
    <x v="2"/>
    <d v="1899-12-30T08:00:00"/>
    <x v="1"/>
  </r>
  <r>
    <x v="2"/>
    <x v="72"/>
    <s v="Sat"/>
    <x v="2"/>
    <m/>
    <x v="2"/>
    <x v="2"/>
    <d v="1899-12-30T08:00:00"/>
    <x v="5"/>
  </r>
  <r>
    <x v="2"/>
    <x v="73"/>
    <s v="Sun"/>
    <x v="163"/>
    <d v="1899-12-30T21:44:00"/>
    <x v="134"/>
    <x v="189"/>
    <d v="1899-12-30T00:00:00"/>
    <x v="0"/>
  </r>
  <r>
    <x v="2"/>
    <x v="74"/>
    <s v="Mon"/>
    <x v="101"/>
    <d v="1899-12-30T20:37:00"/>
    <x v="83"/>
    <x v="190"/>
    <d v="1899-12-30T00:00:00"/>
    <x v="0"/>
  </r>
  <r>
    <x v="2"/>
    <x v="75"/>
    <s v="Tue"/>
    <x v="164"/>
    <d v="1899-12-30T20:58:00"/>
    <x v="2"/>
    <x v="191"/>
    <d v="1899-12-30T00:00:00"/>
    <x v="0"/>
  </r>
  <r>
    <x v="2"/>
    <x v="76"/>
    <s v="Wed"/>
    <x v="37"/>
    <d v="1899-12-30T22:50:00"/>
    <x v="35"/>
    <x v="141"/>
    <d v="1899-12-30T00:00:00"/>
    <x v="0"/>
  </r>
  <r>
    <x v="2"/>
    <x v="77"/>
    <s v="Thu"/>
    <x v="165"/>
    <d v="1899-12-30T21:46:00"/>
    <x v="135"/>
    <x v="192"/>
    <d v="1899-12-30T00:00:00"/>
    <x v="0"/>
  </r>
  <r>
    <x v="2"/>
    <x v="78"/>
    <s v="Fri"/>
    <x v="2"/>
    <m/>
    <x v="2"/>
    <x v="2"/>
    <d v="1899-12-30T08:00:00"/>
    <x v="1"/>
  </r>
  <r>
    <x v="2"/>
    <x v="79"/>
    <s v="Sat"/>
    <x v="2"/>
    <m/>
    <x v="2"/>
    <x v="2"/>
    <d v="1899-12-30T08:00:00"/>
    <x v="1"/>
  </r>
  <r>
    <x v="2"/>
    <x v="80"/>
    <s v="Sun"/>
    <x v="166"/>
    <d v="1899-12-30T20:48:00"/>
    <x v="2"/>
    <x v="41"/>
    <d v="1899-12-30T00:00:00"/>
    <x v="0"/>
  </r>
  <r>
    <x v="2"/>
    <x v="81"/>
    <s v="Mon"/>
    <x v="167"/>
    <d v="1899-12-30T23:19:00"/>
    <x v="2"/>
    <x v="193"/>
    <d v="1899-12-30T00:00:00"/>
    <x v="0"/>
  </r>
  <r>
    <x v="2"/>
    <x v="82"/>
    <s v="Tue"/>
    <x v="150"/>
    <d v="1899-12-30T20:37:00"/>
    <x v="121"/>
    <x v="194"/>
    <d v="1899-12-30T00:00:00"/>
    <x v="0"/>
  </r>
  <r>
    <x v="2"/>
    <x v="83"/>
    <s v="Wed"/>
    <x v="168"/>
    <d v="1899-12-30T20:31:00"/>
    <x v="136"/>
    <x v="121"/>
    <d v="1899-12-30T00:00:00"/>
    <x v="0"/>
  </r>
  <r>
    <x v="2"/>
    <x v="84"/>
    <s v="Thu"/>
    <x v="123"/>
    <d v="1899-12-30T23:51:00"/>
    <x v="100"/>
    <x v="195"/>
    <d v="1899-12-30T00:00:00"/>
    <x v="0"/>
  </r>
  <r>
    <x v="2"/>
    <x v="85"/>
    <s v="Fri"/>
    <x v="2"/>
    <m/>
    <x v="2"/>
    <x v="2"/>
    <d v="1899-12-30T08:00:00"/>
    <x v="1"/>
  </r>
  <r>
    <x v="2"/>
    <x v="86"/>
    <s v="Sat"/>
    <x v="2"/>
    <m/>
    <x v="2"/>
    <x v="2"/>
    <d v="1899-12-30T08:00:00"/>
    <x v="1"/>
  </r>
  <r>
    <x v="2"/>
    <x v="87"/>
    <s v="Sun"/>
    <x v="87"/>
    <d v="1899-12-30T22:31:00"/>
    <x v="70"/>
    <x v="196"/>
    <d v="1899-12-30T00:00:00"/>
    <x v="0"/>
  </r>
  <r>
    <x v="2"/>
    <x v="88"/>
    <s v="Mon"/>
    <x v="34"/>
    <d v="1899-12-30T21:49:00"/>
    <x v="32"/>
    <x v="130"/>
    <d v="1899-12-30T00:00:00"/>
    <x v="0"/>
  </r>
  <r>
    <x v="2"/>
    <x v="89"/>
    <s v="Tue"/>
    <x v="169"/>
    <d v="1899-12-30T22:31:00"/>
    <x v="137"/>
    <x v="181"/>
    <d v="1899-12-30T00:00:00"/>
    <x v="0"/>
  </r>
  <r>
    <x v="2"/>
    <x v="90"/>
    <s v="Wed"/>
    <x v="170"/>
    <d v="1899-12-30T21:44:00"/>
    <x v="138"/>
    <x v="118"/>
    <d v="1899-12-30T00:00:00"/>
    <x v="0"/>
  </r>
  <r>
    <x v="2"/>
    <x v="91"/>
    <s v="Thu"/>
    <x v="171"/>
    <d v="1899-12-30T20:42:00"/>
    <x v="139"/>
    <x v="197"/>
    <d v="1899-12-30T00:00:00"/>
    <x v="0"/>
  </r>
  <r>
    <x v="2"/>
    <x v="92"/>
    <s v="Fri"/>
    <x v="2"/>
    <m/>
    <x v="2"/>
    <x v="2"/>
    <d v="1899-12-30T08:00:00"/>
    <x v="1"/>
  </r>
  <r>
    <x v="2"/>
    <x v="93"/>
    <s v="Sat"/>
    <x v="2"/>
    <m/>
    <x v="2"/>
    <x v="2"/>
    <d v="1899-12-30T08:00:00"/>
    <x v="1"/>
  </r>
  <r>
    <x v="2"/>
    <x v="94"/>
    <s v="Sun"/>
    <x v="142"/>
    <d v="1899-12-30T22:34:00"/>
    <x v="2"/>
    <x v="198"/>
    <d v="1899-12-30T00:00:00"/>
    <x v="0"/>
  </r>
  <r>
    <x v="2"/>
    <x v="95"/>
    <s v="Mon"/>
    <x v="38"/>
    <d v="1899-12-30T22:41:00"/>
    <x v="36"/>
    <x v="114"/>
    <d v="1899-12-30T00:00:00"/>
    <x v="0"/>
  </r>
  <r>
    <x v="2"/>
    <x v="96"/>
    <s v="Tue"/>
    <x v="28"/>
    <d v="1899-12-30T21:28:00"/>
    <x v="26"/>
    <x v="199"/>
    <d v="1899-12-30T00:00:00"/>
    <x v="0"/>
  </r>
  <r>
    <x v="2"/>
    <x v="97"/>
    <s v="Wed"/>
    <x v="172"/>
    <d v="1899-12-30T21:45:00"/>
    <x v="2"/>
    <x v="200"/>
    <d v="1899-12-30T00:00:00"/>
    <x v="0"/>
  </r>
  <r>
    <x v="2"/>
    <x v="98"/>
    <s v="Thu"/>
    <x v="81"/>
    <d v="1899-12-30T20:16:00"/>
    <x v="66"/>
    <x v="201"/>
    <d v="1899-12-30T00:00:00"/>
    <x v="0"/>
  </r>
  <r>
    <x v="2"/>
    <x v="99"/>
    <s v="Fri"/>
    <x v="2"/>
    <m/>
    <x v="2"/>
    <x v="2"/>
    <d v="1899-12-30T08:00:00"/>
    <x v="1"/>
  </r>
  <r>
    <x v="2"/>
    <x v="100"/>
    <s v="Sat"/>
    <x v="2"/>
    <m/>
    <x v="2"/>
    <x v="2"/>
    <d v="1899-12-30T08:00:00"/>
    <x v="1"/>
  </r>
  <r>
    <x v="2"/>
    <x v="101"/>
    <s v="Sun"/>
    <x v="148"/>
    <d v="1899-12-30T21:51:00"/>
    <x v="2"/>
    <x v="202"/>
    <d v="1899-12-30T00:00:00"/>
    <x v="0"/>
  </r>
  <r>
    <x v="2"/>
    <x v="102"/>
    <s v="Mon"/>
    <x v="173"/>
    <d v="1899-12-30T23:55:00"/>
    <x v="2"/>
    <x v="203"/>
    <d v="1899-12-30T00:00:00"/>
    <x v="0"/>
  </r>
  <r>
    <x v="2"/>
    <x v="103"/>
    <s v="Tue"/>
    <x v="81"/>
    <d v="1899-12-30T21:16:00"/>
    <x v="66"/>
    <x v="46"/>
    <d v="1899-12-30T00:00:00"/>
    <x v="0"/>
  </r>
  <r>
    <x v="2"/>
    <x v="104"/>
    <s v="Wed"/>
    <x v="174"/>
    <d v="1899-12-30T23:19:00"/>
    <x v="140"/>
    <x v="132"/>
    <d v="1899-12-30T00:00:00"/>
    <x v="0"/>
  </r>
  <r>
    <x v="2"/>
    <x v="105"/>
    <s v="Thu"/>
    <x v="118"/>
    <d v="1899-12-30T20:48:00"/>
    <x v="98"/>
    <x v="204"/>
    <d v="1899-12-30T00:00:00"/>
    <x v="0"/>
  </r>
  <r>
    <x v="2"/>
    <x v="106"/>
    <s v="Fri"/>
    <x v="2"/>
    <m/>
    <x v="2"/>
    <x v="2"/>
    <d v="1899-12-30T08:00:00"/>
    <x v="1"/>
  </r>
  <r>
    <x v="2"/>
    <x v="107"/>
    <s v="Sat"/>
    <x v="2"/>
    <m/>
    <x v="2"/>
    <x v="2"/>
    <d v="1899-12-30T08:00:00"/>
    <x v="1"/>
  </r>
  <r>
    <x v="2"/>
    <x v="108"/>
    <s v="Sun"/>
    <x v="175"/>
    <d v="1899-12-30T22:49:00"/>
    <x v="141"/>
    <x v="205"/>
    <d v="1899-12-30T00:00:00"/>
    <x v="0"/>
  </r>
  <r>
    <x v="2"/>
    <x v="109"/>
    <s v="Mon"/>
    <x v="170"/>
    <d v="1899-12-30T20:19:00"/>
    <x v="138"/>
    <x v="57"/>
    <d v="1899-12-30T00:00:00"/>
    <x v="0"/>
  </r>
  <r>
    <x v="2"/>
    <x v="110"/>
    <s v="Tue"/>
    <x v="19"/>
    <d v="1899-12-30T23:36:00"/>
    <x v="18"/>
    <x v="206"/>
    <d v="1899-12-30T00:00:00"/>
    <x v="0"/>
  </r>
  <r>
    <x v="2"/>
    <x v="111"/>
    <s v="Wed"/>
    <x v="76"/>
    <d v="1899-12-30T22:23:00"/>
    <x v="2"/>
    <x v="207"/>
    <d v="1899-12-30T00:00:00"/>
    <x v="0"/>
  </r>
  <r>
    <x v="2"/>
    <x v="112"/>
    <s v="Thu"/>
    <x v="62"/>
    <d v="1899-12-30T22:43:00"/>
    <x v="53"/>
    <x v="208"/>
    <d v="1899-12-30T00:00:00"/>
    <x v="0"/>
  </r>
  <r>
    <x v="2"/>
    <x v="113"/>
    <s v="Fri"/>
    <x v="2"/>
    <m/>
    <x v="2"/>
    <x v="2"/>
    <d v="1899-12-30T08:00:00"/>
    <x v="1"/>
  </r>
  <r>
    <x v="2"/>
    <x v="114"/>
    <s v="Sat"/>
    <x v="2"/>
    <m/>
    <x v="2"/>
    <x v="2"/>
    <d v="1899-12-30T08:00:00"/>
    <x v="1"/>
  </r>
  <r>
    <x v="2"/>
    <x v="115"/>
    <s v="Sun"/>
    <x v="176"/>
    <d v="1899-12-30T21:20:00"/>
    <x v="142"/>
    <x v="209"/>
    <d v="1899-12-30T00:00:00"/>
    <x v="0"/>
  </r>
  <r>
    <x v="2"/>
    <x v="116"/>
    <s v="Mon"/>
    <x v="177"/>
    <d v="1899-12-30T22:49:00"/>
    <x v="2"/>
    <x v="210"/>
    <d v="1899-12-30T00:00:00"/>
    <x v="0"/>
  </r>
  <r>
    <x v="2"/>
    <x v="117"/>
    <s v="Tue"/>
    <x v="114"/>
    <d v="1899-12-30T20:46:00"/>
    <x v="2"/>
    <x v="211"/>
    <d v="1899-12-30T00:00:00"/>
    <x v="0"/>
  </r>
  <r>
    <x v="2"/>
    <x v="118"/>
    <s v="Wed"/>
    <x v="118"/>
    <d v="1899-12-30T21:31:00"/>
    <x v="98"/>
    <x v="179"/>
    <d v="1899-12-30T00:00:00"/>
    <x v="0"/>
  </r>
  <r>
    <x v="2"/>
    <x v="119"/>
    <s v="Thu"/>
    <x v="178"/>
    <d v="1899-12-30T22:52:00"/>
    <x v="143"/>
    <x v="158"/>
    <d v="1899-12-30T00:00:00"/>
    <x v="0"/>
  </r>
  <r>
    <x v="2"/>
    <x v="120"/>
    <s v="Fri"/>
    <x v="2"/>
    <m/>
    <x v="2"/>
    <x v="2"/>
    <d v="1899-12-30T08:00:00"/>
    <x v="6"/>
  </r>
  <r>
    <x v="2"/>
    <x v="121"/>
    <s v="Sat"/>
    <x v="2"/>
    <m/>
    <x v="2"/>
    <x v="2"/>
    <d v="1899-12-30T08:00:00"/>
    <x v="1"/>
  </r>
  <r>
    <x v="2"/>
    <x v="122"/>
    <s v="Sun"/>
    <x v="112"/>
    <d v="1899-12-30T23:37:00"/>
    <x v="93"/>
    <x v="212"/>
    <d v="1899-12-30T00:00:00"/>
    <x v="0"/>
  </r>
  <r>
    <x v="2"/>
    <x v="123"/>
    <s v="Mon"/>
    <x v="71"/>
    <d v="1899-12-30T22:25:00"/>
    <x v="59"/>
    <x v="213"/>
    <d v="1899-12-30T00:00:00"/>
    <x v="0"/>
  </r>
  <r>
    <x v="2"/>
    <x v="124"/>
    <s v="Tue"/>
    <x v="179"/>
    <d v="1899-12-30T20:38:00"/>
    <x v="2"/>
    <x v="69"/>
    <d v="1899-12-30T00:00:00"/>
    <x v="0"/>
  </r>
  <r>
    <x v="2"/>
    <x v="125"/>
    <s v="Wed"/>
    <x v="111"/>
    <d v="1899-12-30T23:17:00"/>
    <x v="92"/>
    <x v="214"/>
    <d v="1899-12-30T00:00:00"/>
    <x v="0"/>
  </r>
  <r>
    <x v="2"/>
    <x v="126"/>
    <s v="Thu"/>
    <x v="180"/>
    <d v="1899-12-30T20:57:00"/>
    <x v="2"/>
    <x v="215"/>
    <d v="1899-12-30T00:00:00"/>
    <x v="0"/>
  </r>
  <r>
    <x v="2"/>
    <x v="127"/>
    <s v="Fri"/>
    <x v="2"/>
    <m/>
    <x v="2"/>
    <x v="2"/>
    <d v="1899-12-30T08:00:00"/>
    <x v="1"/>
  </r>
  <r>
    <x v="2"/>
    <x v="128"/>
    <s v="Sat"/>
    <x v="2"/>
    <m/>
    <x v="2"/>
    <x v="2"/>
    <d v="1899-12-30T08:00:00"/>
    <x v="1"/>
  </r>
  <r>
    <x v="2"/>
    <x v="129"/>
    <s v="Sun"/>
    <x v="58"/>
    <d v="1899-12-30T22:58:00"/>
    <x v="50"/>
    <x v="216"/>
    <d v="1899-12-30T00:00:00"/>
    <x v="0"/>
  </r>
  <r>
    <x v="2"/>
    <x v="130"/>
    <s v="Mon"/>
    <x v="159"/>
    <d v="1899-12-30T21:38:00"/>
    <x v="130"/>
    <x v="217"/>
    <d v="1899-12-30T00:00:00"/>
    <x v="0"/>
  </r>
  <r>
    <x v="2"/>
    <x v="131"/>
    <s v="Tue"/>
    <x v="128"/>
    <d v="1899-12-30T22:35:00"/>
    <x v="103"/>
    <x v="218"/>
    <d v="1899-12-30T00:00:00"/>
    <x v="0"/>
  </r>
  <r>
    <x v="2"/>
    <x v="132"/>
    <s v="Wed"/>
    <x v="181"/>
    <d v="1899-12-30T21:57:00"/>
    <x v="144"/>
    <x v="158"/>
    <d v="1899-12-30T00:00:00"/>
    <x v="0"/>
  </r>
  <r>
    <x v="2"/>
    <x v="133"/>
    <s v="Thu"/>
    <x v="113"/>
    <d v="1899-12-30T21:37:00"/>
    <x v="94"/>
    <x v="219"/>
    <d v="1899-12-30T00:00:00"/>
    <x v="0"/>
  </r>
  <r>
    <x v="2"/>
    <x v="134"/>
    <s v="Fri"/>
    <x v="2"/>
    <m/>
    <x v="2"/>
    <x v="2"/>
    <d v="1899-12-30T08:00:00"/>
    <x v="1"/>
  </r>
  <r>
    <x v="2"/>
    <x v="135"/>
    <s v="Sat"/>
    <x v="2"/>
    <m/>
    <x v="2"/>
    <x v="2"/>
    <d v="1899-12-30T08:00:00"/>
    <x v="1"/>
  </r>
  <r>
    <x v="2"/>
    <x v="136"/>
    <s v="Sun"/>
    <x v="5"/>
    <d v="1899-12-30T20:46:00"/>
    <x v="4"/>
    <x v="220"/>
    <d v="1899-12-30T00:00:00"/>
    <x v="0"/>
  </r>
  <r>
    <x v="2"/>
    <x v="137"/>
    <s v="Mon"/>
    <x v="182"/>
    <d v="1899-12-30T22:40:00"/>
    <x v="145"/>
    <x v="150"/>
    <d v="1899-12-30T00:00:00"/>
    <x v="0"/>
  </r>
  <r>
    <x v="2"/>
    <x v="138"/>
    <s v="Tue"/>
    <x v="66"/>
    <d v="1899-12-30T23:38:00"/>
    <x v="2"/>
    <x v="221"/>
    <d v="1899-12-30T00:00:00"/>
    <x v="0"/>
  </r>
  <r>
    <x v="2"/>
    <x v="139"/>
    <s v="Wed"/>
    <x v="77"/>
    <d v="1899-12-30T22:39:00"/>
    <x v="63"/>
    <x v="222"/>
    <d v="1899-12-30T00:00:00"/>
    <x v="0"/>
  </r>
  <r>
    <x v="2"/>
    <x v="140"/>
    <s v="Thu"/>
    <x v="183"/>
    <d v="1899-12-30T22:54:00"/>
    <x v="146"/>
    <x v="105"/>
    <d v="1899-12-30T00:00:00"/>
    <x v="0"/>
  </r>
  <r>
    <x v="2"/>
    <x v="141"/>
    <s v="Fri"/>
    <x v="2"/>
    <m/>
    <x v="2"/>
    <x v="2"/>
    <d v="1899-12-30T08:00:00"/>
    <x v="1"/>
  </r>
  <r>
    <x v="2"/>
    <x v="142"/>
    <s v="Sat"/>
    <x v="2"/>
    <m/>
    <x v="2"/>
    <x v="2"/>
    <d v="1899-12-30T08:00:00"/>
    <x v="1"/>
  </r>
  <r>
    <x v="2"/>
    <x v="143"/>
    <s v="Sun"/>
    <x v="171"/>
    <d v="1899-12-30T21:15:00"/>
    <x v="139"/>
    <x v="223"/>
    <d v="1899-12-30T00:00:00"/>
    <x v="0"/>
  </r>
  <r>
    <x v="2"/>
    <x v="144"/>
    <s v="Mon"/>
    <x v="184"/>
    <d v="1899-12-30T23:25:00"/>
    <x v="147"/>
    <x v="224"/>
    <d v="1899-12-30T00:00:00"/>
    <x v="0"/>
  </r>
  <r>
    <x v="2"/>
    <x v="145"/>
    <s v="Tue"/>
    <x v="18"/>
    <d v="1899-12-30T20:42:00"/>
    <x v="17"/>
    <x v="141"/>
    <d v="1899-12-30T00:00:00"/>
    <x v="0"/>
  </r>
  <r>
    <x v="2"/>
    <x v="146"/>
    <s v="Wed"/>
    <x v="170"/>
    <d v="1899-12-30T22:45:00"/>
    <x v="138"/>
    <x v="107"/>
    <d v="1899-12-30T00:00:00"/>
    <x v="0"/>
  </r>
  <r>
    <x v="2"/>
    <x v="147"/>
    <s v="Thu"/>
    <x v="68"/>
    <d v="1899-12-30T22:34:00"/>
    <x v="2"/>
    <x v="225"/>
    <d v="1899-12-30T00:00:00"/>
    <x v="0"/>
  </r>
  <r>
    <x v="2"/>
    <x v="148"/>
    <s v="Fri"/>
    <x v="2"/>
    <m/>
    <x v="2"/>
    <x v="2"/>
    <d v="1899-12-30T08:00:00"/>
    <x v="1"/>
  </r>
  <r>
    <x v="2"/>
    <x v="149"/>
    <s v="Sat"/>
    <x v="2"/>
    <m/>
    <x v="2"/>
    <x v="2"/>
    <d v="1899-12-30T08:00:00"/>
    <x v="1"/>
  </r>
  <r>
    <x v="2"/>
    <x v="150"/>
    <s v="Sun"/>
    <x v="5"/>
    <d v="1899-12-30T22:48:00"/>
    <x v="4"/>
    <x v="226"/>
    <d v="1899-12-30T00:00:00"/>
    <x v="0"/>
  </r>
  <r>
    <x v="3"/>
    <x v="0"/>
    <s v="Mon"/>
    <x v="2"/>
    <m/>
    <x v="2"/>
    <x v="2"/>
    <d v="1899-12-30T08:00:00"/>
    <x v="2"/>
  </r>
  <r>
    <x v="3"/>
    <x v="1"/>
    <s v="Tue"/>
    <x v="2"/>
    <m/>
    <x v="2"/>
    <x v="2"/>
    <d v="1899-12-30T08:00:00"/>
    <x v="2"/>
  </r>
  <r>
    <x v="3"/>
    <x v="2"/>
    <s v="Wed"/>
    <x v="2"/>
    <m/>
    <x v="2"/>
    <x v="2"/>
    <d v="1899-12-30T08:00:00"/>
    <x v="2"/>
  </r>
  <r>
    <x v="3"/>
    <x v="3"/>
    <s v="Thu"/>
    <x v="185"/>
    <d v="1899-12-30T21:22:00"/>
    <x v="148"/>
    <x v="30"/>
    <d v="1899-12-30T00:00:00"/>
    <x v="0"/>
  </r>
  <r>
    <x v="3"/>
    <x v="4"/>
    <s v="Fri"/>
    <x v="2"/>
    <m/>
    <x v="2"/>
    <x v="2"/>
    <d v="1899-12-30T08:00:00"/>
    <x v="1"/>
  </r>
  <r>
    <x v="3"/>
    <x v="5"/>
    <s v="Sat"/>
    <x v="2"/>
    <m/>
    <x v="2"/>
    <x v="2"/>
    <d v="1899-12-30T08:00:00"/>
    <x v="1"/>
  </r>
  <r>
    <x v="3"/>
    <x v="6"/>
    <s v="Sun"/>
    <x v="27"/>
    <d v="1899-12-30T21:32:00"/>
    <x v="25"/>
    <x v="227"/>
    <d v="1899-12-30T00:00:00"/>
    <x v="0"/>
  </r>
  <r>
    <x v="3"/>
    <x v="7"/>
    <s v="Mon"/>
    <x v="48"/>
    <d v="1899-12-30T21:44:00"/>
    <x v="45"/>
    <x v="131"/>
    <d v="1899-12-30T00:00:00"/>
    <x v="0"/>
  </r>
  <r>
    <x v="3"/>
    <x v="8"/>
    <s v="Tue"/>
    <x v="186"/>
    <d v="1899-12-30T23:20:00"/>
    <x v="149"/>
    <x v="51"/>
    <d v="1899-12-30T00:00:00"/>
    <x v="0"/>
  </r>
  <r>
    <x v="3"/>
    <x v="9"/>
    <s v="Wed"/>
    <x v="187"/>
    <d v="1899-12-30T21:26:00"/>
    <x v="150"/>
    <x v="102"/>
    <d v="1899-12-30T00:00:00"/>
    <x v="0"/>
  </r>
  <r>
    <x v="3"/>
    <x v="10"/>
    <s v="Thu"/>
    <x v="188"/>
    <d v="1899-12-30T21:15:00"/>
    <x v="151"/>
    <x v="228"/>
    <d v="1899-12-30T00:00:00"/>
    <x v="0"/>
  </r>
  <r>
    <x v="3"/>
    <x v="11"/>
    <s v="Fri"/>
    <x v="2"/>
    <m/>
    <x v="2"/>
    <x v="2"/>
    <d v="1899-12-30T08:00:00"/>
    <x v="1"/>
  </r>
  <r>
    <x v="3"/>
    <x v="12"/>
    <s v="Sat"/>
    <x v="2"/>
    <m/>
    <x v="2"/>
    <x v="2"/>
    <d v="1899-12-30T08:00:00"/>
    <x v="1"/>
  </r>
  <r>
    <x v="3"/>
    <x v="13"/>
    <s v="Sun"/>
    <x v="189"/>
    <d v="1899-12-30T20:59:00"/>
    <x v="152"/>
    <x v="229"/>
    <d v="1899-12-30T00:00:00"/>
    <x v="3"/>
  </r>
  <r>
    <x v="3"/>
    <x v="14"/>
    <s v="Mon"/>
    <x v="190"/>
    <d v="1899-12-30T20:48:00"/>
    <x v="153"/>
    <x v="230"/>
    <d v="1899-12-30T00:00:00"/>
    <x v="0"/>
  </r>
  <r>
    <x v="3"/>
    <x v="15"/>
    <s v="Tue"/>
    <x v="42"/>
    <d v="1899-12-30T20:52:00"/>
    <x v="39"/>
    <x v="82"/>
    <d v="1899-12-30T00:00:00"/>
    <x v="0"/>
  </r>
  <r>
    <x v="3"/>
    <x v="16"/>
    <s v="Wed"/>
    <x v="191"/>
    <d v="1899-12-30T22:31:00"/>
    <x v="2"/>
    <x v="89"/>
    <d v="1899-12-30T00:00:00"/>
    <x v="0"/>
  </r>
  <r>
    <x v="3"/>
    <x v="17"/>
    <s v="Thu"/>
    <x v="167"/>
    <d v="1899-12-30T23:42:00"/>
    <x v="2"/>
    <x v="231"/>
    <d v="1899-12-30T00:00:00"/>
    <x v="0"/>
  </r>
  <r>
    <x v="3"/>
    <x v="18"/>
    <s v="Fri"/>
    <x v="2"/>
    <m/>
    <x v="2"/>
    <x v="2"/>
    <d v="1899-12-30T08:00:00"/>
    <x v="1"/>
  </r>
  <r>
    <x v="3"/>
    <x v="19"/>
    <s v="Sat"/>
    <x v="2"/>
    <m/>
    <x v="2"/>
    <x v="2"/>
    <d v="1899-12-30T08:00:00"/>
    <x v="1"/>
  </r>
  <r>
    <x v="3"/>
    <x v="20"/>
    <s v="Sun"/>
    <x v="9"/>
    <d v="1899-12-30T22:25:00"/>
    <x v="8"/>
    <x v="232"/>
    <d v="1899-12-30T00:00:00"/>
    <x v="0"/>
  </r>
  <r>
    <x v="3"/>
    <x v="21"/>
    <s v="Mon"/>
    <x v="97"/>
    <d v="1899-12-30T20:59:00"/>
    <x v="80"/>
    <x v="190"/>
    <d v="1899-12-30T00:00:00"/>
    <x v="0"/>
  </r>
  <r>
    <x v="3"/>
    <x v="22"/>
    <s v="Tue"/>
    <x v="192"/>
    <d v="1899-12-30T22:34:00"/>
    <x v="154"/>
    <x v="233"/>
    <d v="1899-12-30T00:00:00"/>
    <x v="0"/>
  </r>
  <r>
    <x v="3"/>
    <x v="23"/>
    <s v="Wed"/>
    <x v="35"/>
    <d v="1899-12-30T23:34:00"/>
    <x v="33"/>
    <x v="45"/>
    <d v="1899-12-30T00:00:00"/>
    <x v="0"/>
  </r>
  <r>
    <x v="3"/>
    <x v="24"/>
    <s v="Thu"/>
    <x v="116"/>
    <d v="1899-12-30T23:23:00"/>
    <x v="96"/>
    <x v="17"/>
    <d v="1899-12-30T00:00:00"/>
    <x v="0"/>
  </r>
  <r>
    <x v="3"/>
    <x v="25"/>
    <s v="Fri"/>
    <x v="2"/>
    <m/>
    <x v="2"/>
    <x v="2"/>
    <d v="1899-12-30T08:00:00"/>
    <x v="4"/>
  </r>
  <r>
    <x v="3"/>
    <x v="26"/>
    <s v="Sat"/>
    <x v="2"/>
    <m/>
    <x v="2"/>
    <x v="2"/>
    <d v="1899-12-30T08:00:00"/>
    <x v="1"/>
  </r>
  <r>
    <x v="3"/>
    <x v="27"/>
    <s v="Sun"/>
    <x v="193"/>
    <d v="1899-12-30T23:18:00"/>
    <x v="155"/>
    <x v="211"/>
    <d v="1899-12-30T00:00:00"/>
    <x v="0"/>
  </r>
  <r>
    <x v="3"/>
    <x v="28"/>
    <s v="Mon"/>
    <x v="194"/>
    <d v="1899-12-30T21:46:00"/>
    <x v="156"/>
    <x v="234"/>
    <d v="1899-12-30T00:00:00"/>
    <x v="0"/>
  </r>
  <r>
    <x v="3"/>
    <x v="29"/>
    <s v="Tue"/>
    <x v="165"/>
    <d v="1899-12-30T20:29:00"/>
    <x v="135"/>
    <x v="235"/>
    <d v="1899-12-30T00:00:00"/>
    <x v="0"/>
  </r>
  <r>
    <x v="3"/>
    <x v="30"/>
    <s v="Wed"/>
    <x v="144"/>
    <d v="1899-12-30T22:59:00"/>
    <x v="117"/>
    <x v="166"/>
    <d v="1899-12-30T00:00:00"/>
    <x v="0"/>
  </r>
  <r>
    <x v="3"/>
    <x v="31"/>
    <s v="Thu"/>
    <x v="195"/>
    <d v="1899-12-30T20:30:00"/>
    <x v="2"/>
    <x v="52"/>
    <d v="1899-12-30T00:00:00"/>
    <x v="0"/>
  </r>
  <r>
    <x v="3"/>
    <x v="32"/>
    <s v="Fri"/>
    <x v="2"/>
    <m/>
    <x v="2"/>
    <x v="2"/>
    <d v="1899-12-30T08:00:00"/>
    <x v="1"/>
  </r>
  <r>
    <x v="3"/>
    <x v="33"/>
    <s v="Sat"/>
    <x v="2"/>
    <m/>
    <x v="2"/>
    <x v="2"/>
    <d v="1899-12-30T08:00:00"/>
    <x v="1"/>
  </r>
  <r>
    <x v="3"/>
    <x v="34"/>
    <s v="Sun"/>
    <x v="196"/>
    <d v="1899-12-30T21:56:00"/>
    <x v="157"/>
    <x v="58"/>
    <d v="1899-12-30T00:00:00"/>
    <x v="0"/>
  </r>
  <r>
    <x v="3"/>
    <x v="35"/>
    <s v="Mon"/>
    <x v="181"/>
    <d v="1899-12-30T22:45:00"/>
    <x v="144"/>
    <x v="16"/>
    <d v="1899-12-30T00:00:00"/>
    <x v="0"/>
  </r>
  <r>
    <x v="3"/>
    <x v="36"/>
    <s v="Tue"/>
    <x v="155"/>
    <d v="1899-12-30T23:40:00"/>
    <x v="126"/>
    <x v="236"/>
    <d v="1899-12-30T00:00:00"/>
    <x v="0"/>
  </r>
  <r>
    <x v="3"/>
    <x v="37"/>
    <s v="Wed"/>
    <x v="181"/>
    <d v="1899-12-30T21:22:00"/>
    <x v="144"/>
    <x v="188"/>
    <d v="1899-12-30T00:00:00"/>
    <x v="0"/>
  </r>
  <r>
    <x v="3"/>
    <x v="38"/>
    <s v="Thu"/>
    <x v="197"/>
    <d v="1899-12-30T22:32:00"/>
    <x v="158"/>
    <x v="237"/>
    <d v="1899-12-30T00:00:00"/>
    <x v="0"/>
  </r>
  <r>
    <x v="3"/>
    <x v="39"/>
    <s v="Fri"/>
    <x v="2"/>
    <m/>
    <x v="2"/>
    <x v="2"/>
    <d v="1899-12-30T08:00:00"/>
    <x v="1"/>
  </r>
  <r>
    <x v="3"/>
    <x v="40"/>
    <s v="Sat"/>
    <x v="2"/>
    <m/>
    <x v="2"/>
    <x v="2"/>
    <d v="1899-12-30T08:00:00"/>
    <x v="1"/>
  </r>
  <r>
    <x v="3"/>
    <x v="41"/>
    <s v="Sun"/>
    <x v="145"/>
    <d v="1899-12-30T20:43:00"/>
    <x v="118"/>
    <x v="164"/>
    <d v="1899-12-30T00:00:00"/>
    <x v="0"/>
  </r>
  <r>
    <x v="3"/>
    <x v="42"/>
    <s v="Mon"/>
    <x v="165"/>
    <d v="1899-12-30T20:53:00"/>
    <x v="135"/>
    <x v="238"/>
    <d v="1899-12-30T00:00:00"/>
    <x v="0"/>
  </r>
  <r>
    <x v="3"/>
    <x v="43"/>
    <s v="Tue"/>
    <x v="50"/>
    <d v="1899-12-30T22:33:00"/>
    <x v="46"/>
    <x v="199"/>
    <d v="1899-12-30T00:00:00"/>
    <x v="0"/>
  </r>
  <r>
    <x v="3"/>
    <x v="44"/>
    <s v="Wed"/>
    <x v="198"/>
    <d v="1899-12-30T20:47:00"/>
    <x v="159"/>
    <x v="180"/>
    <d v="1899-12-30T00:00:00"/>
    <x v="0"/>
  </r>
  <r>
    <x v="3"/>
    <x v="45"/>
    <s v="Thu"/>
    <x v="73"/>
    <d v="1899-12-30T22:40:00"/>
    <x v="61"/>
    <x v="146"/>
    <d v="1899-12-30T00:00:00"/>
    <x v="0"/>
  </r>
  <r>
    <x v="3"/>
    <x v="46"/>
    <s v="Fri"/>
    <x v="2"/>
    <m/>
    <x v="2"/>
    <x v="2"/>
    <d v="1899-12-30T08:00:00"/>
    <x v="1"/>
  </r>
  <r>
    <x v="3"/>
    <x v="47"/>
    <s v="Sat"/>
    <x v="2"/>
    <m/>
    <x v="2"/>
    <x v="2"/>
    <d v="1899-12-30T08:00:00"/>
    <x v="1"/>
  </r>
  <r>
    <x v="3"/>
    <x v="48"/>
    <s v="Sun"/>
    <x v="199"/>
    <d v="1899-12-30T23:59:00"/>
    <x v="160"/>
    <x v="239"/>
    <d v="1899-12-30T00:00:00"/>
    <x v="0"/>
  </r>
  <r>
    <x v="3"/>
    <x v="49"/>
    <s v="Mon"/>
    <x v="27"/>
    <d v="1899-12-30T22:30:00"/>
    <x v="25"/>
    <x v="240"/>
    <d v="1899-12-30T00:00:00"/>
    <x v="0"/>
  </r>
  <r>
    <x v="3"/>
    <x v="50"/>
    <s v="Tue"/>
    <x v="30"/>
    <d v="1899-12-30T23:53:00"/>
    <x v="28"/>
    <x v="241"/>
    <d v="1899-12-30T00:00:00"/>
    <x v="0"/>
  </r>
  <r>
    <x v="3"/>
    <x v="51"/>
    <s v="Wed"/>
    <x v="50"/>
    <d v="1899-12-30T21:33:00"/>
    <x v="46"/>
    <x v="242"/>
    <d v="1899-12-30T00:00:00"/>
    <x v="0"/>
  </r>
  <r>
    <x v="3"/>
    <x v="52"/>
    <s v="Thu"/>
    <x v="200"/>
    <d v="1899-12-30T23:27:00"/>
    <x v="2"/>
    <x v="243"/>
    <d v="1899-12-30T00:00:00"/>
    <x v="0"/>
  </r>
  <r>
    <x v="3"/>
    <x v="53"/>
    <s v="Fri"/>
    <x v="2"/>
    <m/>
    <x v="2"/>
    <x v="2"/>
    <d v="1899-12-30T08:00:00"/>
    <x v="1"/>
  </r>
  <r>
    <x v="3"/>
    <x v="54"/>
    <s v="Sat"/>
    <x v="2"/>
    <m/>
    <x v="2"/>
    <x v="2"/>
    <d v="1899-12-30T08:00:00"/>
    <x v="1"/>
  </r>
  <r>
    <x v="3"/>
    <x v="55"/>
    <s v="Sun"/>
    <x v="131"/>
    <d v="1899-12-30T21:35:00"/>
    <x v="106"/>
    <x v="244"/>
    <d v="1899-12-30T00:00:00"/>
    <x v="0"/>
  </r>
  <r>
    <x v="3"/>
    <x v="56"/>
    <s v="Mon"/>
    <x v="140"/>
    <d v="1899-12-30T21:50:00"/>
    <x v="114"/>
    <x v="245"/>
    <d v="1899-12-30T00:00:00"/>
    <x v="0"/>
  </r>
  <r>
    <x v="3"/>
    <x v="57"/>
    <s v="Tue"/>
    <x v="201"/>
    <d v="1899-12-30T23:20:00"/>
    <x v="161"/>
    <x v="205"/>
    <d v="1899-12-30T00:00:00"/>
    <x v="0"/>
  </r>
  <r>
    <x v="3"/>
    <x v="58"/>
    <s v="Wed"/>
    <x v="202"/>
    <d v="1899-12-30T21:51:00"/>
    <x v="162"/>
    <x v="219"/>
    <d v="1899-12-30T00:00:00"/>
    <x v="0"/>
  </r>
  <r>
    <x v="3"/>
    <x v="59"/>
    <s v="Thu"/>
    <x v="203"/>
    <d v="1899-12-30T21:49:00"/>
    <x v="163"/>
    <x v="127"/>
    <d v="1899-12-30T00:00:00"/>
    <x v="0"/>
  </r>
  <r>
    <x v="3"/>
    <x v="60"/>
    <s v="Fri"/>
    <x v="2"/>
    <m/>
    <x v="2"/>
    <x v="2"/>
    <d v="1899-12-30T08:00:00"/>
    <x v="1"/>
  </r>
  <r>
    <x v="3"/>
    <x v="61"/>
    <s v="Sat"/>
    <x v="2"/>
    <m/>
    <x v="2"/>
    <x v="2"/>
    <d v="1899-12-30T08:00:00"/>
    <x v="1"/>
  </r>
  <r>
    <x v="3"/>
    <x v="62"/>
    <s v="Sun"/>
    <x v="204"/>
    <d v="1899-12-30T23:44:00"/>
    <x v="164"/>
    <x v="216"/>
    <d v="1899-12-30T00:00:00"/>
    <x v="0"/>
  </r>
  <r>
    <x v="3"/>
    <x v="63"/>
    <s v="Mon"/>
    <x v="205"/>
    <d v="1899-12-30T21:19:00"/>
    <x v="165"/>
    <x v="246"/>
    <d v="1899-12-30T00:00:00"/>
    <x v="0"/>
  </r>
  <r>
    <x v="3"/>
    <x v="64"/>
    <s v="Tue"/>
    <x v="6"/>
    <d v="1899-12-30T23:59:00"/>
    <x v="5"/>
    <x v="247"/>
    <d v="1899-12-30T00:00:00"/>
    <x v="0"/>
  </r>
  <r>
    <x v="3"/>
    <x v="65"/>
    <s v="Wed"/>
    <x v="2"/>
    <m/>
    <x v="2"/>
    <x v="2"/>
    <d v="1899-12-30T08:00:00"/>
    <x v="2"/>
  </r>
  <r>
    <x v="3"/>
    <x v="66"/>
    <s v="Thu"/>
    <x v="13"/>
    <d v="1899-12-30T20:43:00"/>
    <x v="12"/>
    <x v="248"/>
    <d v="1899-12-30T00:00:00"/>
    <x v="0"/>
  </r>
  <r>
    <x v="3"/>
    <x v="67"/>
    <s v="Fri"/>
    <x v="2"/>
    <m/>
    <x v="2"/>
    <x v="2"/>
    <d v="1899-12-30T08:00:00"/>
    <x v="1"/>
  </r>
  <r>
    <x v="3"/>
    <x v="68"/>
    <s v="Sat"/>
    <x v="2"/>
    <m/>
    <x v="2"/>
    <x v="2"/>
    <d v="1899-12-30T08:00:00"/>
    <x v="1"/>
  </r>
  <r>
    <x v="3"/>
    <x v="69"/>
    <s v="Sun"/>
    <x v="20"/>
    <d v="1899-12-30T22:56:00"/>
    <x v="19"/>
    <x v="56"/>
    <d v="1899-12-30T00:00:00"/>
    <x v="0"/>
  </r>
  <r>
    <x v="3"/>
    <x v="70"/>
    <s v="Mon"/>
    <x v="206"/>
    <d v="1899-12-30T23:26:00"/>
    <x v="166"/>
    <x v="127"/>
    <d v="1899-12-30T00:00:00"/>
    <x v="0"/>
  </r>
  <r>
    <x v="3"/>
    <x v="71"/>
    <s v="Tue"/>
    <x v="135"/>
    <d v="1899-12-30T22:25:00"/>
    <x v="110"/>
    <x v="59"/>
    <d v="1899-12-30T00:00:00"/>
    <x v="0"/>
  </r>
  <r>
    <x v="3"/>
    <x v="72"/>
    <s v="Wed"/>
    <x v="2"/>
    <m/>
    <x v="2"/>
    <x v="2"/>
    <d v="1899-12-30T08:00:00"/>
    <x v="5"/>
  </r>
  <r>
    <x v="3"/>
    <x v="73"/>
    <s v="Thu"/>
    <x v="207"/>
    <d v="1899-12-30T20:24:00"/>
    <x v="2"/>
    <x v="249"/>
    <d v="1899-12-30T00:00:00"/>
    <x v="0"/>
  </r>
  <r>
    <x v="3"/>
    <x v="74"/>
    <s v="Fri"/>
    <x v="2"/>
    <m/>
    <x v="2"/>
    <x v="2"/>
    <d v="1899-12-30T08:00:00"/>
    <x v="1"/>
  </r>
  <r>
    <x v="3"/>
    <x v="75"/>
    <s v="Sat"/>
    <x v="2"/>
    <m/>
    <x v="2"/>
    <x v="2"/>
    <d v="1899-12-30T08:00:00"/>
    <x v="1"/>
  </r>
  <r>
    <x v="3"/>
    <x v="76"/>
    <s v="Sun"/>
    <x v="176"/>
    <d v="1899-12-30T22:19:00"/>
    <x v="142"/>
    <x v="250"/>
    <d v="1899-12-30T00:00:00"/>
    <x v="0"/>
  </r>
  <r>
    <x v="3"/>
    <x v="77"/>
    <s v="Mon"/>
    <x v="106"/>
    <d v="1899-12-30T22:19:00"/>
    <x v="87"/>
    <x v="251"/>
    <d v="1899-12-30T00:00:00"/>
    <x v="0"/>
  </r>
  <r>
    <x v="3"/>
    <x v="78"/>
    <s v="Tue"/>
    <x v="79"/>
    <d v="1899-12-30T20:57:00"/>
    <x v="2"/>
    <x v="252"/>
    <d v="1899-12-30T00:00:00"/>
    <x v="0"/>
  </r>
  <r>
    <x v="3"/>
    <x v="79"/>
    <s v="Wed"/>
    <x v="68"/>
    <d v="1899-12-30T20:20:00"/>
    <x v="2"/>
    <x v="249"/>
    <d v="1899-12-30T00:00:00"/>
    <x v="0"/>
  </r>
  <r>
    <x v="3"/>
    <x v="80"/>
    <s v="Thu"/>
    <x v="64"/>
    <d v="1899-12-30T20:46:00"/>
    <x v="54"/>
    <x v="253"/>
    <d v="1899-12-30T00:00:00"/>
    <x v="0"/>
  </r>
  <r>
    <x v="3"/>
    <x v="81"/>
    <s v="Fri"/>
    <x v="2"/>
    <m/>
    <x v="2"/>
    <x v="2"/>
    <d v="1899-12-30T08:00:00"/>
    <x v="1"/>
  </r>
  <r>
    <x v="3"/>
    <x v="82"/>
    <s v="Sat"/>
    <x v="2"/>
    <m/>
    <x v="2"/>
    <x v="2"/>
    <d v="1899-12-30T08:00:00"/>
    <x v="1"/>
  </r>
  <r>
    <x v="3"/>
    <x v="83"/>
    <s v="Sun"/>
    <x v="31"/>
    <d v="1899-12-30T23:34:00"/>
    <x v="29"/>
    <x v="254"/>
    <d v="1899-12-30T00:00:00"/>
    <x v="0"/>
  </r>
  <r>
    <x v="3"/>
    <x v="84"/>
    <s v="Mon"/>
    <x v="32"/>
    <d v="1899-12-30T22:47:00"/>
    <x v="30"/>
    <x v="48"/>
    <d v="1899-12-30T00:00:00"/>
    <x v="0"/>
  </r>
  <r>
    <x v="3"/>
    <x v="85"/>
    <s v="Tue"/>
    <x v="208"/>
    <d v="1899-12-30T23:56:00"/>
    <x v="167"/>
    <x v="41"/>
    <d v="1899-12-30T00:00:00"/>
    <x v="0"/>
  </r>
  <r>
    <x v="3"/>
    <x v="86"/>
    <s v="Wed"/>
    <x v="209"/>
    <d v="1899-12-30T20:23:00"/>
    <x v="168"/>
    <x v="10"/>
    <d v="1899-12-30T00:00:00"/>
    <x v="0"/>
  </r>
  <r>
    <x v="3"/>
    <x v="87"/>
    <s v="Thu"/>
    <x v="83"/>
    <d v="1899-12-30T21:29:00"/>
    <x v="67"/>
    <x v="192"/>
    <d v="1899-12-30T00:00:00"/>
    <x v="0"/>
  </r>
  <r>
    <x v="3"/>
    <x v="88"/>
    <s v="Fri"/>
    <x v="2"/>
    <m/>
    <x v="2"/>
    <x v="2"/>
    <d v="1899-12-30T08:00:00"/>
    <x v="1"/>
  </r>
  <r>
    <x v="3"/>
    <x v="89"/>
    <s v="Sat"/>
    <x v="2"/>
    <m/>
    <x v="2"/>
    <x v="2"/>
    <d v="1899-12-30T08:00:00"/>
    <x v="1"/>
  </r>
  <r>
    <x v="3"/>
    <x v="90"/>
    <s v="Sun"/>
    <x v="208"/>
    <d v="1899-12-30T21:24:00"/>
    <x v="167"/>
    <x v="255"/>
    <d v="1899-12-30T00:00:00"/>
    <x v="0"/>
  </r>
  <r>
    <x v="3"/>
    <x v="91"/>
    <s v="Mon"/>
    <x v="87"/>
    <d v="1899-12-30T21:55:00"/>
    <x v="70"/>
    <x v="190"/>
    <d v="1899-12-30T00:00:00"/>
    <x v="0"/>
  </r>
  <r>
    <x v="3"/>
    <x v="92"/>
    <s v="Tue"/>
    <x v="121"/>
    <d v="1899-12-30T22:22:00"/>
    <x v="2"/>
    <x v="256"/>
    <d v="1899-12-30T00:00:00"/>
    <x v="0"/>
  </r>
  <r>
    <x v="3"/>
    <x v="93"/>
    <s v="Wed"/>
    <x v="195"/>
    <d v="1899-12-30T21:26:00"/>
    <x v="2"/>
    <x v="36"/>
    <d v="1899-12-30T00:00:00"/>
    <x v="0"/>
  </r>
  <r>
    <x v="3"/>
    <x v="94"/>
    <s v="Thu"/>
    <x v="175"/>
    <d v="1899-12-30T21:51:00"/>
    <x v="141"/>
    <x v="257"/>
    <d v="1899-12-30T00:00:00"/>
    <x v="0"/>
  </r>
  <r>
    <x v="3"/>
    <x v="95"/>
    <s v="Fri"/>
    <x v="2"/>
    <m/>
    <x v="2"/>
    <x v="2"/>
    <d v="1899-12-30T08:00:00"/>
    <x v="1"/>
  </r>
  <r>
    <x v="3"/>
    <x v="96"/>
    <s v="Sat"/>
    <x v="2"/>
    <m/>
    <x v="2"/>
    <x v="2"/>
    <d v="1899-12-30T08:00:00"/>
    <x v="1"/>
  </r>
  <r>
    <x v="3"/>
    <x v="97"/>
    <s v="Sun"/>
    <x v="210"/>
    <d v="1899-12-30T23:22:00"/>
    <x v="169"/>
    <x v="71"/>
    <d v="1899-12-30T00:00:00"/>
    <x v="0"/>
  </r>
  <r>
    <x v="3"/>
    <x v="98"/>
    <s v="Mon"/>
    <x v="211"/>
    <d v="1899-12-30T21:54:00"/>
    <x v="170"/>
    <x v="258"/>
    <d v="1899-12-30T00:00:00"/>
    <x v="0"/>
  </r>
  <r>
    <x v="3"/>
    <x v="99"/>
    <s v="Tue"/>
    <x v="42"/>
    <d v="1899-12-30T20:21:00"/>
    <x v="39"/>
    <x v="259"/>
    <d v="1899-12-30T00:00:00"/>
    <x v="0"/>
  </r>
  <r>
    <x v="3"/>
    <x v="100"/>
    <s v="Wed"/>
    <x v="74"/>
    <d v="1899-12-30T20:21:00"/>
    <x v="2"/>
    <x v="9"/>
    <d v="1899-12-30T00:00:00"/>
    <x v="0"/>
  </r>
  <r>
    <x v="3"/>
    <x v="101"/>
    <s v="Thu"/>
    <x v="212"/>
    <d v="1899-12-30T23:25:00"/>
    <x v="171"/>
    <x v="260"/>
    <d v="1899-12-30T00:00:00"/>
    <x v="0"/>
  </r>
  <r>
    <x v="3"/>
    <x v="102"/>
    <s v="Fri"/>
    <x v="2"/>
    <m/>
    <x v="2"/>
    <x v="2"/>
    <d v="1899-12-30T08:00:00"/>
    <x v="1"/>
  </r>
  <r>
    <x v="3"/>
    <x v="103"/>
    <s v="Sat"/>
    <x v="2"/>
    <m/>
    <x v="2"/>
    <x v="2"/>
    <d v="1899-12-30T08:00:00"/>
    <x v="1"/>
  </r>
  <r>
    <x v="3"/>
    <x v="104"/>
    <s v="Sun"/>
    <x v="85"/>
    <d v="1899-12-30T20:57:00"/>
    <x v="2"/>
    <x v="233"/>
    <d v="1899-12-30T00:00:00"/>
    <x v="0"/>
  </r>
  <r>
    <x v="3"/>
    <x v="105"/>
    <s v="Mon"/>
    <x v="186"/>
    <d v="1899-12-30T21:18:00"/>
    <x v="149"/>
    <x v="151"/>
    <d v="1899-12-30T00:00:00"/>
    <x v="0"/>
  </r>
  <r>
    <x v="3"/>
    <x v="106"/>
    <s v="Tue"/>
    <x v="194"/>
    <d v="1899-12-30T21:51:00"/>
    <x v="156"/>
    <x v="261"/>
    <d v="1899-12-30T00:00:00"/>
    <x v="0"/>
  </r>
  <r>
    <x v="3"/>
    <x v="107"/>
    <s v="Wed"/>
    <x v="14"/>
    <d v="1899-12-30T22:47:00"/>
    <x v="13"/>
    <x v="262"/>
    <d v="1899-12-30T00:00:00"/>
    <x v="0"/>
  </r>
  <r>
    <x v="3"/>
    <x v="108"/>
    <s v="Thu"/>
    <x v="159"/>
    <d v="1899-12-30T23:54:00"/>
    <x v="130"/>
    <x v="172"/>
    <d v="1899-12-30T00:00:00"/>
    <x v="0"/>
  </r>
  <r>
    <x v="3"/>
    <x v="109"/>
    <s v="Fri"/>
    <x v="2"/>
    <m/>
    <x v="2"/>
    <x v="2"/>
    <d v="1899-12-30T08:00:00"/>
    <x v="1"/>
  </r>
  <r>
    <x v="3"/>
    <x v="110"/>
    <s v="Sat"/>
    <x v="2"/>
    <m/>
    <x v="2"/>
    <x v="2"/>
    <d v="1899-12-30T08:00:00"/>
    <x v="1"/>
  </r>
  <r>
    <x v="3"/>
    <x v="111"/>
    <s v="Sun"/>
    <x v="72"/>
    <d v="1899-12-30T23:32:00"/>
    <x v="60"/>
    <x v="263"/>
    <d v="1899-12-30T00:00:00"/>
    <x v="0"/>
  </r>
  <r>
    <x v="3"/>
    <x v="112"/>
    <s v="Mon"/>
    <x v="72"/>
    <d v="1899-12-30T23:18:00"/>
    <x v="60"/>
    <x v="264"/>
    <d v="1899-12-30T00:00:00"/>
    <x v="0"/>
  </r>
  <r>
    <x v="3"/>
    <x v="113"/>
    <s v="Tue"/>
    <x v="20"/>
    <d v="1899-12-30T22:17:00"/>
    <x v="19"/>
    <x v="265"/>
    <d v="1899-12-30T00:00:00"/>
    <x v="0"/>
  </r>
  <r>
    <x v="3"/>
    <x v="114"/>
    <s v="Wed"/>
    <x v="2"/>
    <m/>
    <x v="2"/>
    <x v="2"/>
    <d v="1899-12-30T08:00:00"/>
    <x v="2"/>
  </r>
  <r>
    <x v="3"/>
    <x v="115"/>
    <s v="Thu"/>
    <x v="168"/>
    <d v="1899-12-30T23:51:00"/>
    <x v="136"/>
    <x v="104"/>
    <d v="1899-12-30T00:00:00"/>
    <x v="0"/>
  </r>
  <r>
    <x v="3"/>
    <x v="116"/>
    <s v="Fri"/>
    <x v="2"/>
    <m/>
    <x v="2"/>
    <x v="2"/>
    <d v="1899-12-30T08:00:00"/>
    <x v="1"/>
  </r>
  <r>
    <x v="3"/>
    <x v="117"/>
    <s v="Sat"/>
    <x v="2"/>
    <m/>
    <x v="2"/>
    <x v="2"/>
    <d v="1899-12-30T08:00:00"/>
    <x v="1"/>
  </r>
  <r>
    <x v="3"/>
    <x v="118"/>
    <s v="Sun"/>
    <x v="137"/>
    <d v="1899-12-30T20:44:00"/>
    <x v="111"/>
    <x v="266"/>
    <d v="1899-12-30T00:00:00"/>
    <x v="0"/>
  </r>
  <r>
    <x v="3"/>
    <x v="119"/>
    <s v="Mon"/>
    <x v="213"/>
    <d v="1899-12-30T21:34:00"/>
    <x v="172"/>
    <x v="267"/>
    <d v="1899-12-30T00:00:00"/>
    <x v="0"/>
  </r>
  <r>
    <x v="3"/>
    <x v="120"/>
    <s v="Tue"/>
    <x v="2"/>
    <m/>
    <x v="2"/>
    <x v="2"/>
    <d v="1899-12-30T08:00:00"/>
    <x v="6"/>
  </r>
  <r>
    <x v="3"/>
    <x v="121"/>
    <s v="Wed"/>
    <x v="113"/>
    <d v="1899-12-30T21:27:00"/>
    <x v="94"/>
    <x v="268"/>
    <d v="1899-12-30T00:00:00"/>
    <x v="0"/>
  </r>
  <r>
    <x v="3"/>
    <x v="122"/>
    <s v="Thu"/>
    <x v="175"/>
    <d v="1899-12-30T20:33:00"/>
    <x v="141"/>
    <x v="234"/>
    <d v="1899-12-30T00:00:00"/>
    <x v="0"/>
  </r>
  <r>
    <x v="3"/>
    <x v="123"/>
    <s v="Fri"/>
    <x v="2"/>
    <m/>
    <x v="2"/>
    <x v="2"/>
    <d v="1899-12-30T08:00:00"/>
    <x v="1"/>
  </r>
  <r>
    <x v="3"/>
    <x v="124"/>
    <s v="Sat"/>
    <x v="2"/>
    <m/>
    <x v="2"/>
    <x v="2"/>
    <d v="1899-12-30T08:00:00"/>
    <x v="1"/>
  </r>
  <r>
    <x v="3"/>
    <x v="125"/>
    <s v="Sun"/>
    <x v="128"/>
    <d v="1899-12-30T23:28:00"/>
    <x v="103"/>
    <x v="153"/>
    <d v="1899-12-30T00:00:00"/>
    <x v="0"/>
  </r>
  <r>
    <x v="3"/>
    <x v="126"/>
    <s v="Mon"/>
    <x v="214"/>
    <d v="1899-12-30T23:26:00"/>
    <x v="173"/>
    <x v="269"/>
    <d v="1899-12-30T00:00:00"/>
    <x v="0"/>
  </r>
  <r>
    <x v="3"/>
    <x v="127"/>
    <s v="Tue"/>
    <x v="88"/>
    <d v="1899-12-30T23:31:00"/>
    <x v="71"/>
    <x v="70"/>
    <d v="1899-12-30T00:00:00"/>
    <x v="0"/>
  </r>
  <r>
    <x v="3"/>
    <x v="128"/>
    <s v="Wed"/>
    <x v="94"/>
    <d v="1899-12-30T21:32:00"/>
    <x v="77"/>
    <x v="270"/>
    <d v="1899-12-30T00:00:00"/>
    <x v="0"/>
  </r>
  <r>
    <x v="3"/>
    <x v="129"/>
    <s v="Thu"/>
    <x v="164"/>
    <d v="1899-12-30T20:19:00"/>
    <x v="2"/>
    <x v="24"/>
    <d v="1899-12-30T00:00:00"/>
    <x v="0"/>
  </r>
  <r>
    <x v="3"/>
    <x v="130"/>
    <s v="Fri"/>
    <x v="2"/>
    <m/>
    <x v="2"/>
    <x v="2"/>
    <d v="1899-12-30T08:00:00"/>
    <x v="1"/>
  </r>
  <r>
    <x v="3"/>
    <x v="131"/>
    <s v="Sat"/>
    <x v="2"/>
    <m/>
    <x v="2"/>
    <x v="2"/>
    <d v="1899-12-30T08:00:00"/>
    <x v="1"/>
  </r>
  <r>
    <x v="3"/>
    <x v="132"/>
    <s v="Sun"/>
    <x v="97"/>
    <d v="1899-12-30T20:54:00"/>
    <x v="80"/>
    <x v="271"/>
    <d v="1899-12-30T00:00:00"/>
    <x v="0"/>
  </r>
  <r>
    <x v="3"/>
    <x v="133"/>
    <s v="Mon"/>
    <x v="69"/>
    <d v="1899-12-30T20:25:00"/>
    <x v="57"/>
    <x v="35"/>
    <d v="1899-12-30T00:00:00"/>
    <x v="0"/>
  </r>
  <r>
    <x v="3"/>
    <x v="134"/>
    <s v="Tue"/>
    <x v="215"/>
    <d v="1899-12-30T20:52:00"/>
    <x v="174"/>
    <x v="272"/>
    <d v="1899-12-30T00:00:00"/>
    <x v="0"/>
  </r>
  <r>
    <x v="3"/>
    <x v="135"/>
    <s v="Wed"/>
    <x v="216"/>
    <d v="1899-12-30T23:30:00"/>
    <x v="175"/>
    <x v="59"/>
    <d v="1899-12-30T00:00:00"/>
    <x v="0"/>
  </r>
  <r>
    <x v="3"/>
    <x v="136"/>
    <s v="Thu"/>
    <x v="217"/>
    <d v="1899-12-30T22:26:00"/>
    <x v="176"/>
    <x v="245"/>
    <d v="1899-12-30T00:00:00"/>
    <x v="0"/>
  </r>
  <r>
    <x v="3"/>
    <x v="137"/>
    <s v="Fri"/>
    <x v="2"/>
    <m/>
    <x v="2"/>
    <x v="2"/>
    <d v="1899-12-30T08:00:00"/>
    <x v="1"/>
  </r>
  <r>
    <x v="3"/>
    <x v="138"/>
    <s v="Sat"/>
    <x v="2"/>
    <m/>
    <x v="2"/>
    <x v="2"/>
    <d v="1899-12-30T08:00:00"/>
    <x v="1"/>
  </r>
  <r>
    <x v="3"/>
    <x v="139"/>
    <s v="Sun"/>
    <x v="197"/>
    <d v="1899-12-30T20:15:00"/>
    <x v="158"/>
    <x v="196"/>
    <d v="1899-12-30T00:00:00"/>
    <x v="0"/>
  </r>
  <r>
    <x v="3"/>
    <x v="140"/>
    <s v="Mon"/>
    <x v="191"/>
    <d v="1899-12-30T23:20:00"/>
    <x v="2"/>
    <x v="273"/>
    <d v="1899-12-30T00:00:00"/>
    <x v="0"/>
  </r>
  <r>
    <x v="3"/>
    <x v="141"/>
    <s v="Tue"/>
    <x v="28"/>
    <d v="1899-12-30T21:57:00"/>
    <x v="26"/>
    <x v="97"/>
    <d v="1899-12-30T00:00:00"/>
    <x v="0"/>
  </r>
  <r>
    <x v="3"/>
    <x v="142"/>
    <s v="Wed"/>
    <x v="68"/>
    <d v="1899-12-30T20:22:00"/>
    <x v="2"/>
    <x v="274"/>
    <d v="1899-12-30T00:00:00"/>
    <x v="0"/>
  </r>
  <r>
    <x v="3"/>
    <x v="143"/>
    <s v="Thu"/>
    <x v="20"/>
    <d v="1899-12-30T21:59:00"/>
    <x v="19"/>
    <x v="60"/>
    <d v="1899-12-30T00:00:00"/>
    <x v="0"/>
  </r>
  <r>
    <x v="3"/>
    <x v="144"/>
    <s v="Fri"/>
    <x v="2"/>
    <m/>
    <x v="2"/>
    <x v="2"/>
    <d v="1899-12-30T08:00:00"/>
    <x v="1"/>
  </r>
  <r>
    <x v="3"/>
    <x v="145"/>
    <s v="Sat"/>
    <x v="2"/>
    <m/>
    <x v="2"/>
    <x v="2"/>
    <d v="1899-12-30T08:00:00"/>
    <x v="1"/>
  </r>
  <r>
    <x v="3"/>
    <x v="146"/>
    <s v="Sun"/>
    <x v="143"/>
    <d v="1899-12-30T21:42:00"/>
    <x v="116"/>
    <x v="236"/>
    <d v="1899-12-30T00:00:00"/>
    <x v="0"/>
  </r>
  <r>
    <x v="3"/>
    <x v="147"/>
    <s v="Mon"/>
    <x v="218"/>
    <d v="1899-12-30T21:36:00"/>
    <x v="177"/>
    <x v="11"/>
    <d v="1899-12-30T00:00:00"/>
    <x v="0"/>
  </r>
  <r>
    <x v="3"/>
    <x v="148"/>
    <s v="Tue"/>
    <x v="15"/>
    <d v="1899-12-30T23:26:00"/>
    <x v="14"/>
    <x v="275"/>
    <d v="1899-12-30T00:00:00"/>
    <x v="0"/>
  </r>
  <r>
    <x v="3"/>
    <x v="149"/>
    <s v="Wed"/>
    <x v="54"/>
    <d v="1899-12-30T21:17:00"/>
    <x v="2"/>
    <x v="276"/>
    <d v="1899-12-30T00:00:00"/>
    <x v="0"/>
  </r>
  <r>
    <x v="3"/>
    <x v="150"/>
    <s v="Thu"/>
    <x v="181"/>
    <d v="1899-12-30T23:58:00"/>
    <x v="144"/>
    <x v="277"/>
    <d v="1899-12-30T00:00:00"/>
    <x v="0"/>
  </r>
  <r>
    <x v="4"/>
    <x v="0"/>
    <s v="Fri"/>
    <x v="2"/>
    <m/>
    <x v="2"/>
    <x v="2"/>
    <d v="1899-12-30T08:00:00"/>
    <x v="1"/>
  </r>
  <r>
    <x v="4"/>
    <x v="1"/>
    <s v="Sat"/>
    <x v="2"/>
    <m/>
    <x v="2"/>
    <x v="2"/>
    <d v="1899-12-30T08:00:00"/>
    <x v="1"/>
  </r>
  <r>
    <x v="4"/>
    <x v="2"/>
    <s v="Sun"/>
    <x v="213"/>
    <d v="1899-12-30T23:58:00"/>
    <x v="172"/>
    <x v="249"/>
    <d v="1899-12-30T00:00:00"/>
    <x v="0"/>
  </r>
  <r>
    <x v="4"/>
    <x v="3"/>
    <s v="Mon"/>
    <x v="2"/>
    <m/>
    <x v="2"/>
    <x v="2"/>
    <d v="1899-12-30T08:00:00"/>
    <x v="2"/>
  </r>
  <r>
    <x v="4"/>
    <x v="4"/>
    <s v="Tue"/>
    <x v="2"/>
    <m/>
    <x v="2"/>
    <x v="2"/>
    <d v="1899-12-30T08:00:00"/>
    <x v="2"/>
  </r>
  <r>
    <x v="4"/>
    <x v="5"/>
    <s v="Wed"/>
    <x v="2"/>
    <m/>
    <x v="2"/>
    <x v="2"/>
    <d v="1899-12-30T08:00:00"/>
    <x v="2"/>
  </r>
  <r>
    <x v="4"/>
    <x v="6"/>
    <s v="Thu"/>
    <x v="165"/>
    <d v="1899-12-30T22:50:00"/>
    <x v="135"/>
    <x v="278"/>
    <d v="1899-12-30T00:00:00"/>
    <x v="0"/>
  </r>
  <r>
    <x v="4"/>
    <x v="7"/>
    <s v="Fri"/>
    <x v="2"/>
    <m/>
    <x v="2"/>
    <x v="2"/>
    <d v="1899-12-30T08:00:00"/>
    <x v="1"/>
  </r>
  <r>
    <x v="4"/>
    <x v="8"/>
    <s v="Sat"/>
    <x v="2"/>
    <m/>
    <x v="2"/>
    <x v="2"/>
    <d v="1899-12-30T08:00:00"/>
    <x v="1"/>
  </r>
  <r>
    <x v="4"/>
    <x v="9"/>
    <s v="Sun"/>
    <x v="209"/>
    <d v="1899-12-30T21:42:00"/>
    <x v="168"/>
    <x v="209"/>
    <d v="1899-12-30T00:00:00"/>
    <x v="0"/>
  </r>
  <r>
    <x v="4"/>
    <x v="10"/>
    <s v="Mon"/>
    <x v="101"/>
    <d v="1899-12-30T23:23:00"/>
    <x v="83"/>
    <x v="279"/>
    <d v="1899-12-30T00:00:00"/>
    <x v="0"/>
  </r>
  <r>
    <x v="4"/>
    <x v="11"/>
    <s v="Tue"/>
    <x v="202"/>
    <d v="1899-12-30T21:42:00"/>
    <x v="162"/>
    <x v="280"/>
    <d v="1899-12-30T00:00:00"/>
    <x v="0"/>
  </r>
  <r>
    <x v="4"/>
    <x v="12"/>
    <s v="Wed"/>
    <x v="181"/>
    <d v="1899-12-30T22:58:00"/>
    <x v="144"/>
    <x v="67"/>
    <d v="1899-12-30T00:00:00"/>
    <x v="0"/>
  </r>
  <r>
    <x v="4"/>
    <x v="13"/>
    <s v="Thu"/>
    <x v="219"/>
    <d v="1899-12-30T23:24:00"/>
    <x v="178"/>
    <x v="211"/>
    <d v="1899-12-30T00:00:00"/>
    <x v="3"/>
  </r>
  <r>
    <x v="4"/>
    <x v="14"/>
    <s v="Fri"/>
    <x v="2"/>
    <m/>
    <x v="2"/>
    <x v="2"/>
    <d v="1899-12-30T08:00:00"/>
    <x v="1"/>
  </r>
  <r>
    <x v="4"/>
    <x v="15"/>
    <s v="Sat"/>
    <x v="2"/>
    <m/>
    <x v="2"/>
    <x v="2"/>
    <d v="1899-12-30T08:00:00"/>
    <x v="1"/>
  </r>
  <r>
    <x v="4"/>
    <x v="16"/>
    <s v="Sun"/>
    <x v="171"/>
    <d v="1899-12-30T22:36:00"/>
    <x v="139"/>
    <x v="281"/>
    <d v="1899-12-30T00:00:00"/>
    <x v="0"/>
  </r>
  <r>
    <x v="4"/>
    <x v="17"/>
    <s v="Mon"/>
    <x v="220"/>
    <d v="1899-12-30T23:27:00"/>
    <x v="179"/>
    <x v="262"/>
    <d v="1899-12-30T00:00:00"/>
    <x v="0"/>
  </r>
  <r>
    <x v="4"/>
    <x v="18"/>
    <s v="Tue"/>
    <x v="168"/>
    <d v="1899-12-30T22:41:00"/>
    <x v="136"/>
    <x v="282"/>
    <d v="1899-12-30T00:00:00"/>
    <x v="0"/>
  </r>
  <r>
    <x v="4"/>
    <x v="19"/>
    <s v="Wed"/>
    <x v="219"/>
    <d v="1899-12-30T23:27:00"/>
    <x v="178"/>
    <x v="29"/>
    <d v="1899-12-30T00:00:00"/>
    <x v="0"/>
  </r>
  <r>
    <x v="4"/>
    <x v="20"/>
    <s v="Thu"/>
    <x v="196"/>
    <d v="1899-12-30T20:21:00"/>
    <x v="157"/>
    <x v="48"/>
    <d v="1899-12-30T00:00:00"/>
    <x v="0"/>
  </r>
  <r>
    <x v="4"/>
    <x v="21"/>
    <s v="Fri"/>
    <x v="2"/>
    <m/>
    <x v="2"/>
    <x v="2"/>
    <d v="1899-12-30T08:00:00"/>
    <x v="1"/>
  </r>
  <r>
    <x v="4"/>
    <x v="22"/>
    <s v="Sat"/>
    <x v="2"/>
    <m/>
    <x v="2"/>
    <x v="2"/>
    <d v="1899-12-30T08:00:00"/>
    <x v="1"/>
  </r>
  <r>
    <x v="4"/>
    <x v="23"/>
    <s v="Sun"/>
    <x v="21"/>
    <d v="1899-12-30T23:58:00"/>
    <x v="20"/>
    <x v="283"/>
    <d v="1899-12-30T00:00:00"/>
    <x v="0"/>
  </r>
  <r>
    <x v="4"/>
    <x v="24"/>
    <s v="Mon"/>
    <x v="172"/>
    <d v="1899-12-30T21:41:00"/>
    <x v="2"/>
    <x v="104"/>
    <d v="1899-12-30T00:00:00"/>
    <x v="0"/>
  </r>
  <r>
    <x v="4"/>
    <x v="25"/>
    <s v="Tue"/>
    <x v="2"/>
    <m/>
    <x v="2"/>
    <x v="2"/>
    <d v="1899-12-30T08:00:00"/>
    <x v="4"/>
  </r>
  <r>
    <x v="4"/>
    <x v="26"/>
    <s v="Wed"/>
    <x v="9"/>
    <d v="1899-12-30T22:40:00"/>
    <x v="8"/>
    <x v="250"/>
    <d v="1899-12-30T00:00:00"/>
    <x v="0"/>
  </r>
  <r>
    <x v="4"/>
    <x v="27"/>
    <s v="Thu"/>
    <x v="221"/>
    <d v="1899-12-30T23:31:00"/>
    <x v="180"/>
    <x v="284"/>
    <d v="1899-12-30T00:00:00"/>
    <x v="0"/>
  </r>
  <r>
    <x v="4"/>
    <x v="28"/>
    <s v="Fri"/>
    <x v="2"/>
    <m/>
    <x v="2"/>
    <x v="2"/>
    <d v="1899-12-30T08:00:00"/>
    <x v="1"/>
  </r>
  <r>
    <x v="4"/>
    <x v="29"/>
    <s v="Sat"/>
    <x v="2"/>
    <m/>
    <x v="2"/>
    <x v="2"/>
    <d v="1899-12-30T08:00:00"/>
    <x v="1"/>
  </r>
  <r>
    <x v="4"/>
    <x v="30"/>
    <s v="Sun"/>
    <x v="3"/>
    <d v="1899-12-30T20:27:00"/>
    <x v="3"/>
    <x v="174"/>
    <d v="1899-12-30T00:00:00"/>
    <x v="0"/>
  </r>
  <r>
    <x v="4"/>
    <x v="31"/>
    <s v="Mon"/>
    <x v="222"/>
    <d v="1899-12-30T23:39:00"/>
    <x v="2"/>
    <x v="285"/>
    <d v="1899-12-30T00:00:00"/>
    <x v="0"/>
  </r>
  <r>
    <x v="4"/>
    <x v="32"/>
    <s v="Tue"/>
    <x v="147"/>
    <d v="1899-12-30T21:45:00"/>
    <x v="120"/>
    <x v="286"/>
    <d v="1899-12-30T00:00:00"/>
    <x v="0"/>
  </r>
  <r>
    <x v="4"/>
    <x v="33"/>
    <s v="Wed"/>
    <x v="223"/>
    <d v="1899-12-30T21:31:00"/>
    <x v="181"/>
    <x v="287"/>
    <d v="1899-12-30T00:00:00"/>
    <x v="0"/>
  </r>
  <r>
    <x v="4"/>
    <x v="34"/>
    <s v="Thu"/>
    <x v="196"/>
    <d v="1899-12-30T21:41:00"/>
    <x v="157"/>
    <x v="227"/>
    <d v="1899-12-30T00:00:00"/>
    <x v="0"/>
  </r>
  <r>
    <x v="4"/>
    <x v="35"/>
    <s v="Fri"/>
    <x v="2"/>
    <m/>
    <x v="2"/>
    <x v="2"/>
    <d v="1899-12-30T08:00:00"/>
    <x v="1"/>
  </r>
  <r>
    <x v="4"/>
    <x v="36"/>
    <s v="Sat"/>
    <x v="2"/>
    <m/>
    <x v="2"/>
    <x v="2"/>
    <d v="1899-12-30T08:00:00"/>
    <x v="1"/>
  </r>
  <r>
    <x v="4"/>
    <x v="37"/>
    <s v="Sun"/>
    <x v="78"/>
    <d v="1899-12-30T22:34:00"/>
    <x v="64"/>
    <x v="57"/>
    <d v="1899-12-30T00:00:00"/>
    <x v="0"/>
  </r>
  <r>
    <x v="4"/>
    <x v="38"/>
    <s v="Mon"/>
    <x v="224"/>
    <d v="1899-12-30T22:57:00"/>
    <x v="182"/>
    <x v="240"/>
    <d v="1899-12-30T00:00:00"/>
    <x v="0"/>
  </r>
  <r>
    <x v="4"/>
    <x v="39"/>
    <s v="Tue"/>
    <x v="116"/>
    <d v="1899-12-30T22:44:00"/>
    <x v="96"/>
    <x v="227"/>
    <d v="1899-12-30T00:00:00"/>
    <x v="0"/>
  </r>
  <r>
    <x v="4"/>
    <x v="40"/>
    <s v="Wed"/>
    <x v="143"/>
    <d v="1899-12-30T23:15:00"/>
    <x v="116"/>
    <x v="225"/>
    <d v="1899-12-30T00:00:00"/>
    <x v="0"/>
  </r>
  <r>
    <x v="4"/>
    <x v="41"/>
    <s v="Thu"/>
    <x v="225"/>
    <d v="1899-12-30T21:31:00"/>
    <x v="183"/>
    <x v="52"/>
    <d v="1899-12-30T00:00:00"/>
    <x v="0"/>
  </r>
  <r>
    <x v="4"/>
    <x v="42"/>
    <s v="Fri"/>
    <x v="2"/>
    <m/>
    <x v="2"/>
    <x v="2"/>
    <d v="1899-12-30T08:00:00"/>
    <x v="1"/>
  </r>
  <r>
    <x v="4"/>
    <x v="43"/>
    <s v="Sat"/>
    <x v="2"/>
    <m/>
    <x v="2"/>
    <x v="2"/>
    <d v="1899-12-30T08:00:00"/>
    <x v="1"/>
  </r>
  <r>
    <x v="4"/>
    <x v="44"/>
    <s v="Sun"/>
    <x v="46"/>
    <d v="1899-12-30T21:28:00"/>
    <x v="43"/>
    <x v="288"/>
    <d v="1899-12-30T00:00:00"/>
    <x v="0"/>
  </r>
  <r>
    <x v="4"/>
    <x v="45"/>
    <s v="Mon"/>
    <x v="226"/>
    <d v="1899-12-30T20:49:00"/>
    <x v="184"/>
    <x v="72"/>
    <d v="1899-12-30T00:00:00"/>
    <x v="0"/>
  </r>
  <r>
    <x v="4"/>
    <x v="46"/>
    <s v="Tue"/>
    <x v="2"/>
    <m/>
    <x v="2"/>
    <x v="2"/>
    <d v="1899-12-30T08:00:00"/>
    <x v="2"/>
  </r>
  <r>
    <x v="4"/>
    <x v="47"/>
    <s v="Wed"/>
    <x v="2"/>
    <m/>
    <x v="2"/>
    <x v="2"/>
    <d v="1899-12-30T08:00:00"/>
    <x v="2"/>
  </r>
  <r>
    <x v="4"/>
    <x v="48"/>
    <s v="Thu"/>
    <x v="2"/>
    <m/>
    <x v="2"/>
    <x v="2"/>
    <d v="1899-12-30T08:00:00"/>
    <x v="2"/>
  </r>
  <r>
    <x v="4"/>
    <x v="49"/>
    <s v="Fri"/>
    <x v="2"/>
    <m/>
    <x v="2"/>
    <x v="2"/>
    <d v="1899-12-30T08:00:00"/>
    <x v="1"/>
  </r>
  <r>
    <x v="4"/>
    <x v="50"/>
    <s v="Sat"/>
    <x v="2"/>
    <m/>
    <x v="2"/>
    <x v="2"/>
    <d v="1899-12-30T08:00:00"/>
    <x v="1"/>
  </r>
  <r>
    <x v="4"/>
    <x v="51"/>
    <s v="Sun"/>
    <x v="17"/>
    <d v="1899-12-30T21:52:00"/>
    <x v="16"/>
    <x v="111"/>
    <d v="1899-12-30T00:00:00"/>
    <x v="0"/>
  </r>
  <r>
    <x v="4"/>
    <x v="52"/>
    <s v="Mon"/>
    <x v="191"/>
    <d v="1899-12-30T21:27:00"/>
    <x v="2"/>
    <x v="289"/>
    <d v="1899-12-30T00:00:00"/>
    <x v="0"/>
  </r>
  <r>
    <x v="4"/>
    <x v="53"/>
    <s v="Tue"/>
    <x v="227"/>
    <d v="1899-12-30T20:40:00"/>
    <x v="185"/>
    <x v="290"/>
    <d v="1899-12-30T00:00:00"/>
    <x v="0"/>
  </r>
  <r>
    <x v="4"/>
    <x v="54"/>
    <s v="Wed"/>
    <x v="63"/>
    <d v="1899-12-30T20:27:00"/>
    <x v="2"/>
    <x v="160"/>
    <d v="1899-12-30T00:00:00"/>
    <x v="0"/>
  </r>
  <r>
    <x v="4"/>
    <x v="55"/>
    <s v="Thu"/>
    <x v="228"/>
    <d v="1899-12-30T20:17:00"/>
    <x v="186"/>
    <x v="291"/>
    <d v="1899-12-30T00:00:00"/>
    <x v="0"/>
  </r>
  <r>
    <x v="4"/>
    <x v="56"/>
    <s v="Fri"/>
    <x v="2"/>
    <m/>
    <x v="2"/>
    <x v="2"/>
    <d v="1899-12-30T08:00:00"/>
    <x v="1"/>
  </r>
  <r>
    <x v="4"/>
    <x v="57"/>
    <s v="Sat"/>
    <x v="2"/>
    <m/>
    <x v="2"/>
    <x v="2"/>
    <d v="1899-12-30T08:00:00"/>
    <x v="1"/>
  </r>
  <r>
    <x v="4"/>
    <x v="58"/>
    <s v="Sun"/>
    <x v="109"/>
    <d v="1899-12-30T23:41:00"/>
    <x v="90"/>
    <x v="141"/>
    <d v="1899-12-30T00:00:00"/>
    <x v="0"/>
  </r>
  <r>
    <x v="4"/>
    <x v="59"/>
    <s v="Mon"/>
    <x v="192"/>
    <d v="1899-12-30T20:17:00"/>
    <x v="154"/>
    <x v="116"/>
    <d v="1899-12-30T00:00:00"/>
    <x v="0"/>
  </r>
  <r>
    <x v="4"/>
    <x v="60"/>
    <s v="Tue"/>
    <x v="112"/>
    <d v="1899-12-30T22:19:00"/>
    <x v="93"/>
    <x v="191"/>
    <d v="1899-12-30T00:00:00"/>
    <x v="0"/>
  </r>
  <r>
    <x v="4"/>
    <x v="61"/>
    <s v="Wed"/>
    <x v="64"/>
    <d v="1899-12-30T23:37:00"/>
    <x v="54"/>
    <x v="76"/>
    <d v="1899-12-30T00:00:00"/>
    <x v="0"/>
  </r>
  <r>
    <x v="4"/>
    <x v="62"/>
    <s v="Thu"/>
    <x v="163"/>
    <d v="1899-12-30T23:50:00"/>
    <x v="134"/>
    <x v="269"/>
    <d v="1899-12-30T00:00:00"/>
    <x v="0"/>
  </r>
  <r>
    <x v="4"/>
    <x v="63"/>
    <s v="Fri"/>
    <x v="2"/>
    <m/>
    <x v="2"/>
    <x v="2"/>
    <d v="1899-12-30T08:00:00"/>
    <x v="1"/>
  </r>
  <r>
    <x v="4"/>
    <x v="64"/>
    <s v="Sat"/>
    <x v="2"/>
    <m/>
    <x v="2"/>
    <x v="2"/>
    <d v="1899-12-30T08:00:00"/>
    <x v="1"/>
  </r>
  <r>
    <x v="4"/>
    <x v="65"/>
    <s v="Sun"/>
    <x v="168"/>
    <d v="1899-12-30T21:58:00"/>
    <x v="136"/>
    <x v="184"/>
    <d v="1899-12-30T00:00:00"/>
    <x v="0"/>
  </r>
  <r>
    <x v="4"/>
    <x v="66"/>
    <s v="Mon"/>
    <x v="17"/>
    <d v="1899-12-30T21:17:00"/>
    <x v="16"/>
    <x v="44"/>
    <d v="1899-12-30T00:00:00"/>
    <x v="0"/>
  </r>
  <r>
    <x v="4"/>
    <x v="67"/>
    <s v="Tue"/>
    <x v="102"/>
    <d v="1899-12-30T23:44:00"/>
    <x v="2"/>
    <x v="292"/>
    <d v="1899-12-30T00:00:00"/>
    <x v="0"/>
  </r>
  <r>
    <x v="4"/>
    <x v="68"/>
    <s v="Wed"/>
    <x v="229"/>
    <d v="1899-12-30T20:54:00"/>
    <x v="187"/>
    <x v="161"/>
    <d v="1899-12-30T00:00:00"/>
    <x v="0"/>
  </r>
  <r>
    <x v="4"/>
    <x v="69"/>
    <s v="Thu"/>
    <x v="11"/>
    <d v="1899-12-30T22:34:00"/>
    <x v="10"/>
    <x v="116"/>
    <d v="1899-12-30T00:00:00"/>
    <x v="0"/>
  </r>
  <r>
    <x v="4"/>
    <x v="70"/>
    <s v="Fri"/>
    <x v="2"/>
    <m/>
    <x v="2"/>
    <x v="2"/>
    <d v="1899-12-30T08:00:00"/>
    <x v="1"/>
  </r>
  <r>
    <x v="4"/>
    <x v="71"/>
    <s v="Sat"/>
    <x v="2"/>
    <m/>
    <x v="2"/>
    <x v="2"/>
    <d v="1899-12-30T08:00:00"/>
    <x v="1"/>
  </r>
  <r>
    <x v="4"/>
    <x v="72"/>
    <s v="Sun"/>
    <x v="2"/>
    <m/>
    <x v="2"/>
    <x v="2"/>
    <d v="1899-12-30T08:00:00"/>
    <x v="5"/>
  </r>
  <r>
    <x v="4"/>
    <x v="73"/>
    <s v="Mon"/>
    <x v="3"/>
    <d v="1899-12-30T20:25:00"/>
    <x v="3"/>
    <x v="293"/>
    <d v="1899-12-30T00:00:00"/>
    <x v="0"/>
  </r>
  <r>
    <x v="4"/>
    <x v="74"/>
    <s v="Tue"/>
    <x v="188"/>
    <d v="1899-12-30T20:49:00"/>
    <x v="151"/>
    <x v="46"/>
    <d v="1899-12-30T00:00:00"/>
    <x v="0"/>
  </r>
  <r>
    <x v="4"/>
    <x v="75"/>
    <s v="Wed"/>
    <x v="202"/>
    <d v="1899-12-30T21:38:00"/>
    <x v="162"/>
    <x v="8"/>
    <d v="1899-12-30T00:00:00"/>
    <x v="0"/>
  </r>
  <r>
    <x v="4"/>
    <x v="76"/>
    <s v="Thu"/>
    <x v="20"/>
    <d v="1899-12-30T21:15:00"/>
    <x v="19"/>
    <x v="294"/>
    <d v="1899-12-30T00:00:00"/>
    <x v="0"/>
  </r>
  <r>
    <x v="4"/>
    <x v="77"/>
    <s v="Fri"/>
    <x v="2"/>
    <m/>
    <x v="2"/>
    <x v="2"/>
    <d v="1899-12-30T08:00:00"/>
    <x v="1"/>
  </r>
  <r>
    <x v="4"/>
    <x v="78"/>
    <s v="Sat"/>
    <x v="2"/>
    <m/>
    <x v="2"/>
    <x v="2"/>
    <d v="1899-12-30T08:00:00"/>
    <x v="1"/>
  </r>
  <r>
    <x v="4"/>
    <x v="79"/>
    <s v="Sun"/>
    <x v="228"/>
    <d v="1899-12-30T20:56:00"/>
    <x v="186"/>
    <x v="148"/>
    <d v="1899-12-30T00:00:00"/>
    <x v="0"/>
  </r>
  <r>
    <x v="4"/>
    <x v="80"/>
    <s v="Mon"/>
    <x v="230"/>
    <d v="1899-12-30T20:49:00"/>
    <x v="188"/>
    <x v="70"/>
    <d v="1899-12-30T00:00:00"/>
    <x v="0"/>
  </r>
  <r>
    <x v="4"/>
    <x v="81"/>
    <s v="Tue"/>
    <x v="185"/>
    <d v="1899-12-30T20:36:00"/>
    <x v="148"/>
    <x v="295"/>
    <d v="1899-12-30T00:00:00"/>
    <x v="0"/>
  </r>
  <r>
    <x v="4"/>
    <x v="82"/>
    <s v="Wed"/>
    <x v="231"/>
    <d v="1899-12-30T23:57:00"/>
    <x v="2"/>
    <x v="296"/>
    <d v="1899-12-30T00:00:00"/>
    <x v="0"/>
  </r>
  <r>
    <x v="4"/>
    <x v="83"/>
    <s v="Thu"/>
    <x v="197"/>
    <d v="1899-12-30T20:55:00"/>
    <x v="158"/>
    <x v="51"/>
    <d v="1899-12-30T00:00:00"/>
    <x v="0"/>
  </r>
  <r>
    <x v="4"/>
    <x v="84"/>
    <s v="Fri"/>
    <x v="2"/>
    <m/>
    <x v="2"/>
    <x v="2"/>
    <d v="1899-12-30T08:00:00"/>
    <x v="1"/>
  </r>
  <r>
    <x v="4"/>
    <x v="85"/>
    <s v="Sat"/>
    <x v="2"/>
    <m/>
    <x v="2"/>
    <x v="2"/>
    <d v="1899-12-30T08:00:00"/>
    <x v="1"/>
  </r>
  <r>
    <x v="4"/>
    <x v="86"/>
    <s v="Sun"/>
    <x v="13"/>
    <d v="1899-12-30T22:16:00"/>
    <x v="12"/>
    <x v="120"/>
    <d v="1899-12-30T00:00:00"/>
    <x v="0"/>
  </r>
  <r>
    <x v="4"/>
    <x v="87"/>
    <s v="Mon"/>
    <x v="28"/>
    <d v="1899-12-30T20:56:00"/>
    <x v="26"/>
    <x v="297"/>
    <d v="1899-12-30T00:00:00"/>
    <x v="0"/>
  </r>
  <r>
    <x v="4"/>
    <x v="88"/>
    <s v="Tue"/>
    <x v="192"/>
    <d v="1899-12-30T23:56:00"/>
    <x v="154"/>
    <x v="263"/>
    <d v="1899-12-30T00:00:00"/>
    <x v="0"/>
  </r>
  <r>
    <x v="4"/>
    <x v="89"/>
    <s v="Wed"/>
    <x v="79"/>
    <d v="1899-12-30T23:32:00"/>
    <x v="2"/>
    <x v="298"/>
    <d v="1899-12-30T00:00:00"/>
    <x v="0"/>
  </r>
  <r>
    <x v="4"/>
    <x v="90"/>
    <s v="Thu"/>
    <x v="100"/>
    <d v="1899-12-30T22:34:00"/>
    <x v="2"/>
    <x v="264"/>
    <d v="1899-12-30T00:00:00"/>
    <x v="0"/>
  </r>
  <r>
    <x v="4"/>
    <x v="91"/>
    <s v="Fri"/>
    <x v="2"/>
    <m/>
    <x v="2"/>
    <x v="2"/>
    <d v="1899-12-30T08:00:00"/>
    <x v="1"/>
  </r>
  <r>
    <x v="4"/>
    <x v="92"/>
    <s v="Sat"/>
    <x v="2"/>
    <m/>
    <x v="2"/>
    <x v="2"/>
    <d v="1899-12-30T08:00:00"/>
    <x v="1"/>
  </r>
  <r>
    <x v="4"/>
    <x v="93"/>
    <s v="Sun"/>
    <x v="151"/>
    <d v="1899-12-30T20:41:00"/>
    <x v="122"/>
    <x v="209"/>
    <d v="1899-12-30T00:00:00"/>
    <x v="0"/>
  </r>
  <r>
    <x v="4"/>
    <x v="94"/>
    <s v="Mon"/>
    <x v="204"/>
    <d v="1899-12-30T23:44:00"/>
    <x v="164"/>
    <x v="216"/>
    <d v="1899-12-30T00:00:00"/>
    <x v="0"/>
  </r>
  <r>
    <x v="4"/>
    <x v="95"/>
    <s v="Tue"/>
    <x v="145"/>
    <d v="1899-12-30T20:32:00"/>
    <x v="118"/>
    <x v="299"/>
    <d v="1899-12-30T00:00:00"/>
    <x v="0"/>
  </r>
  <r>
    <x v="4"/>
    <x v="96"/>
    <s v="Wed"/>
    <x v="232"/>
    <d v="1899-12-30T20:28:00"/>
    <x v="189"/>
    <x v="300"/>
    <d v="1899-12-30T00:00:00"/>
    <x v="0"/>
  </r>
  <r>
    <x v="4"/>
    <x v="97"/>
    <s v="Thu"/>
    <x v="233"/>
    <d v="1899-12-30T23:35:00"/>
    <x v="190"/>
    <x v="301"/>
    <d v="1899-12-30T00:00:00"/>
    <x v="0"/>
  </r>
  <r>
    <x v="4"/>
    <x v="98"/>
    <s v="Fri"/>
    <x v="2"/>
    <m/>
    <x v="2"/>
    <x v="2"/>
    <d v="1899-12-30T08:00:00"/>
    <x v="1"/>
  </r>
  <r>
    <x v="4"/>
    <x v="99"/>
    <s v="Sat"/>
    <x v="2"/>
    <m/>
    <x v="2"/>
    <x v="2"/>
    <d v="1899-12-30T08:00:00"/>
    <x v="1"/>
  </r>
  <r>
    <x v="4"/>
    <x v="100"/>
    <s v="Sun"/>
    <x v="156"/>
    <d v="1899-12-30T22:55:00"/>
    <x v="127"/>
    <x v="228"/>
    <d v="1899-12-30T00:00:00"/>
    <x v="0"/>
  </r>
  <r>
    <x v="4"/>
    <x v="101"/>
    <s v="Mon"/>
    <x v="22"/>
    <d v="1899-12-30T22:55:00"/>
    <x v="21"/>
    <x v="302"/>
    <d v="1899-12-30T00:00:00"/>
    <x v="0"/>
  </r>
  <r>
    <x v="4"/>
    <x v="102"/>
    <s v="Tue"/>
    <x v="234"/>
    <d v="1899-12-30T23:37:00"/>
    <x v="191"/>
    <x v="303"/>
    <d v="1899-12-30T00:00:00"/>
    <x v="0"/>
  </r>
  <r>
    <x v="4"/>
    <x v="103"/>
    <s v="Wed"/>
    <x v="215"/>
    <d v="1899-12-30T21:17:00"/>
    <x v="174"/>
    <x v="65"/>
    <d v="1899-12-30T00:00:00"/>
    <x v="0"/>
  </r>
  <r>
    <x v="4"/>
    <x v="104"/>
    <s v="Thu"/>
    <x v="6"/>
    <d v="1899-12-30T23:41:00"/>
    <x v="5"/>
    <x v="304"/>
    <d v="1899-12-30T00:00:00"/>
    <x v="0"/>
  </r>
  <r>
    <x v="4"/>
    <x v="105"/>
    <s v="Fri"/>
    <x v="2"/>
    <m/>
    <x v="2"/>
    <x v="2"/>
    <d v="1899-12-30T08:00:00"/>
    <x v="1"/>
  </r>
  <r>
    <x v="4"/>
    <x v="106"/>
    <s v="Sat"/>
    <x v="2"/>
    <m/>
    <x v="2"/>
    <x v="2"/>
    <d v="1899-12-30T08:00:00"/>
    <x v="1"/>
  </r>
  <r>
    <x v="4"/>
    <x v="107"/>
    <s v="Sun"/>
    <x v="59"/>
    <d v="1899-12-30T22:28:00"/>
    <x v="51"/>
    <x v="153"/>
    <d v="1899-12-30T00:00:00"/>
    <x v="0"/>
  </r>
  <r>
    <x v="4"/>
    <x v="108"/>
    <s v="Mon"/>
    <x v="129"/>
    <d v="1899-12-30T22:55:00"/>
    <x v="104"/>
    <x v="182"/>
    <d v="1899-12-30T00:00:00"/>
    <x v="0"/>
  </r>
  <r>
    <x v="4"/>
    <x v="109"/>
    <s v="Tue"/>
    <x v="194"/>
    <d v="1899-12-30T23:42:00"/>
    <x v="156"/>
    <x v="270"/>
    <d v="1899-12-30T00:00:00"/>
    <x v="0"/>
  </r>
  <r>
    <x v="4"/>
    <x v="110"/>
    <s v="Wed"/>
    <x v="168"/>
    <d v="1899-12-30T22:19:00"/>
    <x v="136"/>
    <x v="294"/>
    <d v="1899-12-30T00:00:00"/>
    <x v="0"/>
  </r>
  <r>
    <x v="4"/>
    <x v="111"/>
    <s v="Thu"/>
    <x v="208"/>
    <d v="1899-12-30T20:38:00"/>
    <x v="167"/>
    <x v="305"/>
    <d v="1899-12-30T00:00:00"/>
    <x v="0"/>
  </r>
  <r>
    <x v="4"/>
    <x v="112"/>
    <s v="Fri"/>
    <x v="2"/>
    <m/>
    <x v="2"/>
    <x v="2"/>
    <d v="1899-12-30T08:00:00"/>
    <x v="1"/>
  </r>
  <r>
    <x v="4"/>
    <x v="113"/>
    <s v="Sat"/>
    <x v="2"/>
    <m/>
    <x v="2"/>
    <x v="2"/>
    <d v="1899-12-30T08:00:00"/>
    <x v="1"/>
  </r>
  <r>
    <x v="4"/>
    <x v="114"/>
    <s v="Sun"/>
    <x v="115"/>
    <d v="1899-12-30T20:53:00"/>
    <x v="95"/>
    <x v="205"/>
    <d v="1899-12-30T00:00:00"/>
    <x v="0"/>
  </r>
  <r>
    <x v="4"/>
    <x v="115"/>
    <s v="Mon"/>
    <x v="235"/>
    <d v="1899-12-30T23:33:00"/>
    <x v="192"/>
    <x v="130"/>
    <d v="1899-12-30T00:00:00"/>
    <x v="0"/>
  </r>
  <r>
    <x v="4"/>
    <x v="116"/>
    <s v="Tue"/>
    <x v="15"/>
    <d v="1899-12-30T21:44:00"/>
    <x v="14"/>
    <x v="9"/>
    <d v="1899-12-30T00:00:00"/>
    <x v="0"/>
  </r>
  <r>
    <x v="4"/>
    <x v="117"/>
    <s v="Wed"/>
    <x v="87"/>
    <d v="1899-12-30T21:22:00"/>
    <x v="70"/>
    <x v="121"/>
    <d v="1899-12-30T00:00:00"/>
    <x v="0"/>
  </r>
  <r>
    <x v="4"/>
    <x v="118"/>
    <s v="Thu"/>
    <x v="168"/>
    <d v="1899-12-30T22:43:00"/>
    <x v="136"/>
    <x v="306"/>
    <d v="1899-12-30T00:00:00"/>
    <x v="0"/>
  </r>
  <r>
    <x v="4"/>
    <x v="119"/>
    <s v="Fri"/>
    <x v="2"/>
    <m/>
    <x v="2"/>
    <x v="2"/>
    <d v="1899-12-30T08:00:00"/>
    <x v="1"/>
  </r>
  <r>
    <x v="4"/>
    <x v="120"/>
    <s v="Sat"/>
    <x v="2"/>
    <m/>
    <x v="2"/>
    <x v="2"/>
    <d v="1899-12-30T08:00:00"/>
    <x v="6"/>
  </r>
  <r>
    <x v="4"/>
    <x v="121"/>
    <s v="Sun"/>
    <x v="31"/>
    <d v="1899-12-30T23:27:00"/>
    <x v="29"/>
    <x v="239"/>
    <d v="1899-12-30T00:00:00"/>
    <x v="0"/>
  </r>
  <r>
    <x v="4"/>
    <x v="122"/>
    <s v="Mon"/>
    <x v="175"/>
    <d v="1899-12-30T21:25:00"/>
    <x v="141"/>
    <x v="307"/>
    <d v="1899-12-30T00:00:00"/>
    <x v="0"/>
  </r>
  <r>
    <x v="4"/>
    <x v="123"/>
    <s v="Tue"/>
    <x v="60"/>
    <d v="1899-12-30T22:54:00"/>
    <x v="2"/>
    <x v="308"/>
    <d v="1899-12-30T00:00:00"/>
    <x v="0"/>
  </r>
  <r>
    <x v="4"/>
    <x v="124"/>
    <s v="Wed"/>
    <x v="70"/>
    <d v="1899-12-30T22:18:00"/>
    <x v="58"/>
    <x v="309"/>
    <d v="1899-12-30T00:00:00"/>
    <x v="0"/>
  </r>
  <r>
    <x v="4"/>
    <x v="125"/>
    <s v="Thu"/>
    <x v="236"/>
    <d v="1899-12-30T20:30:00"/>
    <x v="193"/>
    <x v="255"/>
    <d v="1899-12-30T00:00:00"/>
    <x v="0"/>
  </r>
  <r>
    <x v="4"/>
    <x v="126"/>
    <s v="Fri"/>
    <x v="2"/>
    <m/>
    <x v="2"/>
    <x v="2"/>
    <d v="1899-12-30T08:00:00"/>
    <x v="1"/>
  </r>
  <r>
    <x v="4"/>
    <x v="127"/>
    <s v="Sat"/>
    <x v="2"/>
    <m/>
    <x v="2"/>
    <x v="2"/>
    <d v="1899-12-30T08:00:00"/>
    <x v="1"/>
  </r>
  <r>
    <x v="4"/>
    <x v="128"/>
    <s v="Sun"/>
    <x v="97"/>
    <d v="1899-12-30T22:42:00"/>
    <x v="80"/>
    <x v="222"/>
    <d v="1899-12-30T00:00:00"/>
    <x v="0"/>
  </r>
  <r>
    <x v="4"/>
    <x v="129"/>
    <s v="Mon"/>
    <x v="99"/>
    <d v="1899-12-30T21:44:00"/>
    <x v="82"/>
    <x v="310"/>
    <d v="1899-12-30T00:00:00"/>
    <x v="0"/>
  </r>
  <r>
    <x v="4"/>
    <x v="130"/>
    <s v="Tue"/>
    <x v="32"/>
    <d v="1899-12-30T20:51:00"/>
    <x v="30"/>
    <x v="311"/>
    <d v="1899-12-30T00:00:00"/>
    <x v="0"/>
  </r>
  <r>
    <x v="4"/>
    <x v="131"/>
    <s v="Wed"/>
    <x v="181"/>
    <d v="1899-12-30T23:18:00"/>
    <x v="144"/>
    <x v="89"/>
    <d v="1899-12-30T00:00:00"/>
    <x v="0"/>
  </r>
  <r>
    <x v="4"/>
    <x v="132"/>
    <s v="Thu"/>
    <x v="227"/>
    <d v="1899-12-30T23:24:00"/>
    <x v="185"/>
    <x v="206"/>
    <d v="1899-12-30T00:00:00"/>
    <x v="0"/>
  </r>
  <r>
    <x v="4"/>
    <x v="133"/>
    <s v="Fri"/>
    <x v="2"/>
    <m/>
    <x v="2"/>
    <x v="2"/>
    <d v="1899-12-30T08:00:00"/>
    <x v="1"/>
  </r>
  <r>
    <x v="4"/>
    <x v="134"/>
    <s v="Sat"/>
    <x v="2"/>
    <m/>
    <x v="2"/>
    <x v="2"/>
    <d v="1899-12-30T08:00:00"/>
    <x v="1"/>
  </r>
  <r>
    <x v="4"/>
    <x v="135"/>
    <s v="Sun"/>
    <x v="55"/>
    <d v="1899-12-30T21:19:00"/>
    <x v="2"/>
    <x v="29"/>
    <d v="1899-12-30T00:00:00"/>
    <x v="0"/>
  </r>
  <r>
    <x v="4"/>
    <x v="136"/>
    <s v="Mon"/>
    <x v="115"/>
    <d v="1899-12-30T21:41:00"/>
    <x v="95"/>
    <x v="215"/>
    <d v="1899-12-30T00:00:00"/>
    <x v="0"/>
  </r>
  <r>
    <x v="4"/>
    <x v="137"/>
    <s v="Tue"/>
    <x v="158"/>
    <d v="1899-12-30T20:21:00"/>
    <x v="129"/>
    <x v="230"/>
    <d v="1899-12-30T00:00:00"/>
    <x v="0"/>
  </r>
  <r>
    <x v="4"/>
    <x v="138"/>
    <s v="Wed"/>
    <x v="237"/>
    <d v="1899-12-30T22:36:00"/>
    <x v="2"/>
    <x v="39"/>
    <d v="1899-12-30T00:00:00"/>
    <x v="0"/>
  </r>
  <r>
    <x v="4"/>
    <x v="139"/>
    <s v="Thu"/>
    <x v="14"/>
    <d v="1899-12-30T20:36:00"/>
    <x v="13"/>
    <x v="90"/>
    <d v="1899-12-30T00:00:00"/>
    <x v="0"/>
  </r>
  <r>
    <x v="4"/>
    <x v="140"/>
    <s v="Fri"/>
    <x v="2"/>
    <m/>
    <x v="2"/>
    <x v="2"/>
    <d v="1899-12-30T08:00:00"/>
    <x v="1"/>
  </r>
  <r>
    <x v="4"/>
    <x v="141"/>
    <s v="Sat"/>
    <x v="2"/>
    <m/>
    <x v="2"/>
    <x v="2"/>
    <d v="1899-12-30T08:00:00"/>
    <x v="1"/>
  </r>
  <r>
    <x v="4"/>
    <x v="142"/>
    <s v="Sun"/>
    <x v="123"/>
    <d v="1899-12-30T23:46:00"/>
    <x v="100"/>
    <x v="138"/>
    <d v="1899-12-30T00:00:00"/>
    <x v="0"/>
  </r>
  <r>
    <x v="4"/>
    <x v="143"/>
    <s v="Mon"/>
    <x v="229"/>
    <d v="1899-12-30T21:54:00"/>
    <x v="187"/>
    <x v="172"/>
    <d v="1899-12-30T00:00:00"/>
    <x v="0"/>
  </r>
  <r>
    <x v="4"/>
    <x v="144"/>
    <s v="Tue"/>
    <x v="215"/>
    <d v="1899-12-30T20:22:00"/>
    <x v="174"/>
    <x v="259"/>
    <d v="1899-12-30T00:00:00"/>
    <x v="0"/>
  </r>
  <r>
    <x v="4"/>
    <x v="145"/>
    <s v="Wed"/>
    <x v="25"/>
    <d v="1899-12-30T20:57:00"/>
    <x v="23"/>
    <x v="82"/>
    <d v="1899-12-30T00:00:00"/>
    <x v="0"/>
  </r>
  <r>
    <x v="4"/>
    <x v="146"/>
    <s v="Thu"/>
    <x v="238"/>
    <d v="1899-12-30T22:21:00"/>
    <x v="2"/>
    <x v="177"/>
    <d v="1899-12-30T00:00:00"/>
    <x v="0"/>
  </r>
  <r>
    <x v="4"/>
    <x v="147"/>
    <s v="Fri"/>
    <x v="2"/>
    <m/>
    <x v="2"/>
    <x v="2"/>
    <d v="1899-12-30T08:00:00"/>
    <x v="1"/>
  </r>
  <r>
    <x v="4"/>
    <x v="148"/>
    <s v="Sat"/>
    <x v="2"/>
    <m/>
    <x v="2"/>
    <x v="2"/>
    <d v="1899-12-30T08:00:00"/>
    <x v="1"/>
  </r>
  <r>
    <x v="4"/>
    <x v="149"/>
    <s v="Sun"/>
    <x v="141"/>
    <d v="1899-12-30T22:19:00"/>
    <x v="115"/>
    <x v="60"/>
    <d v="1899-12-30T00:00:00"/>
    <x v="0"/>
  </r>
  <r>
    <x v="4"/>
    <x v="150"/>
    <s v="Mon"/>
    <x v="229"/>
    <d v="1899-12-30T23:57:00"/>
    <x v="187"/>
    <x v="279"/>
    <d v="1899-12-30T00:00:00"/>
    <x v="0"/>
  </r>
  <r>
    <x v="5"/>
    <x v="0"/>
    <s v="Tue"/>
    <x v="239"/>
    <d v="1899-12-30T20:33:00"/>
    <x v="194"/>
    <x v="176"/>
    <d v="1899-12-30T00:00:00"/>
    <x v="0"/>
  </r>
  <r>
    <x v="5"/>
    <x v="1"/>
    <s v="Wed"/>
    <x v="140"/>
    <d v="1899-12-30T21:28:00"/>
    <x v="114"/>
    <x v="312"/>
    <d v="1899-12-30T00:00:00"/>
    <x v="0"/>
  </r>
  <r>
    <x v="5"/>
    <x v="2"/>
    <s v="Thu"/>
    <x v="124"/>
    <d v="1899-12-30T22:25:00"/>
    <x v="2"/>
    <x v="133"/>
    <d v="1899-12-30T00:00:00"/>
    <x v="0"/>
  </r>
  <r>
    <x v="5"/>
    <x v="3"/>
    <s v="Fri"/>
    <x v="2"/>
    <m/>
    <x v="2"/>
    <x v="2"/>
    <d v="1899-12-30T08:00:00"/>
    <x v="1"/>
  </r>
  <r>
    <x v="5"/>
    <x v="4"/>
    <s v="Sat"/>
    <x v="2"/>
    <m/>
    <x v="2"/>
    <x v="2"/>
    <d v="1899-12-30T08:00:00"/>
    <x v="1"/>
  </r>
  <r>
    <x v="5"/>
    <x v="5"/>
    <s v="Sun"/>
    <x v="193"/>
    <d v="1899-12-30T23:55:00"/>
    <x v="155"/>
    <x v="279"/>
    <d v="1899-12-30T00:00:00"/>
    <x v="0"/>
  </r>
  <r>
    <x v="5"/>
    <x v="6"/>
    <s v="Mon"/>
    <x v="240"/>
    <d v="1899-12-30T21:46:00"/>
    <x v="195"/>
    <x v="155"/>
    <d v="1899-12-30T00:00:00"/>
    <x v="0"/>
  </r>
  <r>
    <x v="5"/>
    <x v="7"/>
    <s v="Tue"/>
    <x v="241"/>
    <d v="1899-12-30T22:25:00"/>
    <x v="196"/>
    <x v="313"/>
    <d v="1899-12-30T00:00:00"/>
    <x v="0"/>
  </r>
  <r>
    <x v="5"/>
    <x v="8"/>
    <s v="Wed"/>
    <x v="100"/>
    <d v="1899-12-30T20:56:00"/>
    <x v="2"/>
    <x v="52"/>
    <d v="1899-12-30T00:00:00"/>
    <x v="0"/>
  </r>
  <r>
    <x v="5"/>
    <x v="9"/>
    <s v="Thu"/>
    <x v="220"/>
    <d v="1899-12-30T20:15:00"/>
    <x v="179"/>
    <x v="83"/>
    <d v="1899-12-30T00:00:00"/>
    <x v="0"/>
  </r>
  <r>
    <x v="5"/>
    <x v="10"/>
    <s v="Fri"/>
    <x v="2"/>
    <m/>
    <x v="2"/>
    <x v="2"/>
    <d v="1899-12-30T08:00:00"/>
    <x v="1"/>
  </r>
  <r>
    <x v="5"/>
    <x v="11"/>
    <s v="Sat"/>
    <x v="2"/>
    <m/>
    <x v="2"/>
    <x v="2"/>
    <d v="1899-12-30T08:00:00"/>
    <x v="1"/>
  </r>
  <r>
    <x v="5"/>
    <x v="12"/>
    <s v="Sun"/>
    <x v="41"/>
    <d v="1899-12-30T20:30:00"/>
    <x v="2"/>
    <x v="276"/>
    <d v="1899-12-30T00:00:00"/>
    <x v="0"/>
  </r>
  <r>
    <x v="5"/>
    <x v="13"/>
    <s v="Mon"/>
    <x v="2"/>
    <m/>
    <x v="2"/>
    <x v="2"/>
    <d v="1899-12-30T08:00:00"/>
    <x v="3"/>
  </r>
  <r>
    <x v="5"/>
    <x v="14"/>
    <s v="Tue"/>
    <x v="242"/>
    <d v="1899-12-30T23:59:00"/>
    <x v="197"/>
    <x v="314"/>
    <d v="1899-12-30T00:00:00"/>
    <x v="0"/>
  </r>
  <r>
    <x v="5"/>
    <x v="15"/>
    <s v="Wed"/>
    <x v="231"/>
    <d v="1899-12-30T23:57:00"/>
    <x v="2"/>
    <x v="296"/>
    <d v="1899-12-30T00:00:00"/>
    <x v="0"/>
  </r>
  <r>
    <x v="5"/>
    <x v="16"/>
    <s v="Thu"/>
    <x v="164"/>
    <d v="1899-12-30T21:59:00"/>
    <x v="2"/>
    <x v="145"/>
    <d v="1899-12-30T00:00:00"/>
    <x v="0"/>
  </r>
  <r>
    <x v="5"/>
    <x v="17"/>
    <s v="Fri"/>
    <x v="2"/>
    <m/>
    <x v="2"/>
    <x v="2"/>
    <d v="1899-12-30T08:00:00"/>
    <x v="1"/>
  </r>
  <r>
    <x v="5"/>
    <x v="18"/>
    <s v="Sat"/>
    <x v="2"/>
    <m/>
    <x v="2"/>
    <x v="2"/>
    <d v="1899-12-30T08:00:00"/>
    <x v="1"/>
  </r>
  <r>
    <x v="5"/>
    <x v="19"/>
    <s v="Sun"/>
    <x v="221"/>
    <d v="1899-12-30T21:16:00"/>
    <x v="180"/>
    <x v="72"/>
    <d v="1899-12-30T00:00:00"/>
    <x v="0"/>
  </r>
  <r>
    <x v="5"/>
    <x v="20"/>
    <s v="Mon"/>
    <x v="2"/>
    <m/>
    <x v="2"/>
    <x v="2"/>
    <d v="1899-12-30T08:00:00"/>
    <x v="2"/>
  </r>
  <r>
    <x v="5"/>
    <x v="21"/>
    <s v="Tue"/>
    <x v="48"/>
    <d v="1899-12-30T20:25:00"/>
    <x v="45"/>
    <x v="172"/>
    <d v="1899-12-30T00:00:00"/>
    <x v="0"/>
  </r>
  <r>
    <x v="5"/>
    <x v="22"/>
    <s v="Wed"/>
    <x v="243"/>
    <d v="1899-12-30T20:39:00"/>
    <x v="198"/>
    <x v="315"/>
    <d v="1899-12-30T00:00:00"/>
    <x v="0"/>
  </r>
  <r>
    <x v="5"/>
    <x v="23"/>
    <s v="Thu"/>
    <x v="244"/>
    <d v="1899-12-30T20:55:00"/>
    <x v="199"/>
    <x v="163"/>
    <d v="1899-12-30T00:00:00"/>
    <x v="0"/>
  </r>
  <r>
    <x v="5"/>
    <x v="24"/>
    <s v="Fri"/>
    <x v="2"/>
    <m/>
    <x v="2"/>
    <x v="2"/>
    <d v="1899-12-30T08:00:00"/>
    <x v="1"/>
  </r>
  <r>
    <x v="5"/>
    <x v="25"/>
    <s v="Sat"/>
    <x v="2"/>
    <m/>
    <x v="2"/>
    <x v="2"/>
    <d v="1899-12-30T08:00:00"/>
    <x v="4"/>
  </r>
  <r>
    <x v="5"/>
    <x v="26"/>
    <s v="Sun"/>
    <x v="98"/>
    <d v="1899-12-30T20:57:00"/>
    <x v="81"/>
    <x v="291"/>
    <d v="1899-12-30T00:00:00"/>
    <x v="0"/>
  </r>
  <r>
    <x v="5"/>
    <x v="27"/>
    <s v="Mon"/>
    <x v="106"/>
    <d v="1899-12-30T23:45:00"/>
    <x v="87"/>
    <x v="26"/>
    <d v="1899-12-30T00:00:00"/>
    <x v="0"/>
  </r>
  <r>
    <x v="5"/>
    <x v="28"/>
    <s v="Tue"/>
    <x v="245"/>
    <d v="1899-12-30T20:37:00"/>
    <x v="200"/>
    <x v="166"/>
    <d v="1899-12-30T00:00:00"/>
    <x v="0"/>
  </r>
  <r>
    <x v="5"/>
    <x v="29"/>
    <s v="Wed"/>
    <x v="8"/>
    <d v="1899-12-30T23:50:00"/>
    <x v="7"/>
    <x v="236"/>
    <d v="1899-12-30T00:00:00"/>
    <x v="0"/>
  </r>
  <r>
    <x v="5"/>
    <x v="30"/>
    <s v="Thu"/>
    <x v="64"/>
    <d v="1899-12-30T21:38:00"/>
    <x v="54"/>
    <x v="153"/>
    <d v="1899-12-30T00:00:00"/>
    <x v="0"/>
  </r>
  <r>
    <x v="5"/>
    <x v="31"/>
    <s v="Fri"/>
    <x v="2"/>
    <m/>
    <x v="2"/>
    <x v="2"/>
    <d v="1899-12-30T08:00:00"/>
    <x v="1"/>
  </r>
  <r>
    <x v="5"/>
    <x v="32"/>
    <s v="Sat"/>
    <x v="2"/>
    <m/>
    <x v="2"/>
    <x v="2"/>
    <d v="1899-12-30T08:00:00"/>
    <x v="1"/>
  </r>
  <r>
    <x v="5"/>
    <x v="33"/>
    <s v="Sun"/>
    <x v="187"/>
    <d v="1899-12-30T21:59:00"/>
    <x v="150"/>
    <x v="295"/>
    <d v="1899-12-30T00:00:00"/>
    <x v="0"/>
  </r>
  <r>
    <x v="5"/>
    <x v="34"/>
    <s v="Mon"/>
    <x v="125"/>
    <d v="1899-12-30T23:48:00"/>
    <x v="2"/>
    <x v="316"/>
    <d v="1899-12-30T00:00:00"/>
    <x v="0"/>
  </r>
  <r>
    <x v="5"/>
    <x v="35"/>
    <s v="Tue"/>
    <x v="165"/>
    <d v="1899-12-30T22:57:00"/>
    <x v="135"/>
    <x v="68"/>
    <d v="1899-12-30T00:00:00"/>
    <x v="0"/>
  </r>
  <r>
    <x v="5"/>
    <x v="36"/>
    <s v="Wed"/>
    <x v="185"/>
    <d v="1899-12-30T21:19:00"/>
    <x v="148"/>
    <x v="317"/>
    <d v="1899-12-30T00:00:00"/>
    <x v="0"/>
  </r>
  <r>
    <x v="5"/>
    <x v="37"/>
    <s v="Thu"/>
    <x v="10"/>
    <d v="1899-12-30T22:16:00"/>
    <x v="9"/>
    <x v="181"/>
    <d v="1899-12-30T00:00:00"/>
    <x v="0"/>
  </r>
  <r>
    <x v="5"/>
    <x v="38"/>
    <s v="Fri"/>
    <x v="2"/>
    <m/>
    <x v="2"/>
    <x v="2"/>
    <d v="1899-12-30T08:00:00"/>
    <x v="1"/>
  </r>
  <r>
    <x v="5"/>
    <x v="39"/>
    <s v="Sat"/>
    <x v="2"/>
    <m/>
    <x v="2"/>
    <x v="2"/>
    <d v="1899-12-30T08:00:00"/>
    <x v="1"/>
  </r>
  <r>
    <x v="5"/>
    <x v="40"/>
    <s v="Sun"/>
    <x v="111"/>
    <d v="1899-12-30T22:19:00"/>
    <x v="92"/>
    <x v="181"/>
    <d v="1899-12-30T00:00:00"/>
    <x v="0"/>
  </r>
  <r>
    <x v="5"/>
    <x v="41"/>
    <s v="Mon"/>
    <x v="202"/>
    <d v="1899-12-30T20:18:00"/>
    <x v="162"/>
    <x v="318"/>
    <d v="1899-12-30T00:00:00"/>
    <x v="0"/>
  </r>
  <r>
    <x v="5"/>
    <x v="42"/>
    <s v="Tue"/>
    <x v="246"/>
    <d v="1899-12-30T21:50:00"/>
    <x v="2"/>
    <x v="71"/>
    <d v="1899-12-30T00:00:00"/>
    <x v="0"/>
  </r>
  <r>
    <x v="5"/>
    <x v="43"/>
    <s v="Wed"/>
    <x v="247"/>
    <d v="1899-12-30T23:17:00"/>
    <x v="201"/>
    <x v="132"/>
    <d v="1899-12-30T00:00:00"/>
    <x v="0"/>
  </r>
  <r>
    <x v="5"/>
    <x v="44"/>
    <s v="Thu"/>
    <x v="95"/>
    <d v="1899-12-30T21:44:00"/>
    <x v="78"/>
    <x v="319"/>
    <d v="1899-12-30T00:00:00"/>
    <x v="0"/>
  </r>
  <r>
    <x v="5"/>
    <x v="45"/>
    <s v="Fri"/>
    <x v="2"/>
    <m/>
    <x v="2"/>
    <x v="2"/>
    <d v="1899-12-30T08:00:00"/>
    <x v="1"/>
  </r>
  <r>
    <x v="5"/>
    <x v="46"/>
    <s v="Sat"/>
    <x v="2"/>
    <m/>
    <x v="2"/>
    <x v="2"/>
    <d v="1899-12-30T08:00:00"/>
    <x v="1"/>
  </r>
  <r>
    <x v="5"/>
    <x v="47"/>
    <s v="Sun"/>
    <x v="248"/>
    <d v="1899-12-30T21:36:00"/>
    <x v="202"/>
    <x v="222"/>
    <d v="1899-12-30T00:00:00"/>
    <x v="0"/>
  </r>
  <r>
    <x v="5"/>
    <x v="48"/>
    <s v="Mon"/>
    <x v="121"/>
    <d v="1899-12-30T20:17:00"/>
    <x v="2"/>
    <x v="118"/>
    <d v="1899-12-30T00:00:00"/>
    <x v="0"/>
  </r>
  <r>
    <x v="5"/>
    <x v="49"/>
    <s v="Tue"/>
    <x v="199"/>
    <d v="1899-12-30T21:15:00"/>
    <x v="160"/>
    <x v="176"/>
    <d v="1899-12-30T00:00:00"/>
    <x v="0"/>
  </r>
  <r>
    <x v="5"/>
    <x v="50"/>
    <s v="Wed"/>
    <x v="46"/>
    <d v="1899-12-30T23:55:00"/>
    <x v="43"/>
    <x v="320"/>
    <d v="1899-12-30T00:00:00"/>
    <x v="0"/>
  </r>
  <r>
    <x v="5"/>
    <x v="51"/>
    <s v="Thu"/>
    <x v="249"/>
    <d v="1899-12-30T21:22:00"/>
    <x v="2"/>
    <x v="23"/>
    <d v="1899-12-30T00:00:00"/>
    <x v="0"/>
  </r>
  <r>
    <x v="5"/>
    <x v="52"/>
    <s v="Fri"/>
    <x v="2"/>
    <m/>
    <x v="2"/>
    <x v="2"/>
    <d v="1899-12-30T08:00:00"/>
    <x v="1"/>
  </r>
  <r>
    <x v="5"/>
    <x v="53"/>
    <s v="Sat"/>
    <x v="2"/>
    <m/>
    <x v="2"/>
    <x v="2"/>
    <d v="1899-12-30T08:00:00"/>
    <x v="1"/>
  </r>
  <r>
    <x v="5"/>
    <x v="54"/>
    <s v="Sun"/>
    <x v="173"/>
    <d v="1899-12-30T21:32:00"/>
    <x v="2"/>
    <x v="56"/>
    <d v="1899-12-30T00:00:00"/>
    <x v="0"/>
  </r>
  <r>
    <x v="5"/>
    <x v="55"/>
    <s v="Mon"/>
    <x v="140"/>
    <d v="1899-12-30T23:56:00"/>
    <x v="114"/>
    <x v="252"/>
    <d v="1899-12-30T00:00:00"/>
    <x v="0"/>
  </r>
  <r>
    <x v="5"/>
    <x v="56"/>
    <s v="Tue"/>
    <x v="229"/>
    <d v="1899-12-30T23:47:00"/>
    <x v="187"/>
    <x v="304"/>
    <d v="1899-12-30T00:00:00"/>
    <x v="0"/>
  </r>
  <r>
    <x v="5"/>
    <x v="57"/>
    <s v="Wed"/>
    <x v="155"/>
    <d v="1899-12-30T20:28:00"/>
    <x v="126"/>
    <x v="321"/>
    <d v="1899-12-30T00:00:00"/>
    <x v="0"/>
  </r>
  <r>
    <x v="5"/>
    <x v="58"/>
    <s v="Thu"/>
    <x v="180"/>
    <d v="1899-12-30T23:30:00"/>
    <x v="2"/>
    <x v="113"/>
    <d v="1899-12-30T00:00:00"/>
    <x v="0"/>
  </r>
  <r>
    <x v="5"/>
    <x v="59"/>
    <s v="Fri"/>
    <x v="2"/>
    <m/>
    <x v="2"/>
    <x v="2"/>
    <d v="1899-12-30T08:00:00"/>
    <x v="1"/>
  </r>
  <r>
    <x v="5"/>
    <x v="60"/>
    <s v="Sat"/>
    <x v="2"/>
    <m/>
    <x v="2"/>
    <x v="2"/>
    <d v="1899-12-30T08:00:00"/>
    <x v="1"/>
  </r>
  <r>
    <x v="5"/>
    <x v="61"/>
    <s v="Sun"/>
    <x v="154"/>
    <d v="1899-12-30T23:48:00"/>
    <x v="125"/>
    <x v="210"/>
    <d v="1899-12-30T00:00:00"/>
    <x v="0"/>
  </r>
  <r>
    <x v="5"/>
    <x v="62"/>
    <s v="Mon"/>
    <x v="248"/>
    <d v="1899-12-30T20:51:00"/>
    <x v="202"/>
    <x v="189"/>
    <d v="1899-12-30T00:00:00"/>
    <x v="0"/>
  </r>
  <r>
    <x v="5"/>
    <x v="63"/>
    <s v="Tue"/>
    <x v="204"/>
    <d v="1899-12-30T21:23:00"/>
    <x v="164"/>
    <x v="141"/>
    <d v="1899-12-30T00:00:00"/>
    <x v="0"/>
  </r>
  <r>
    <x v="5"/>
    <x v="64"/>
    <s v="Wed"/>
    <x v="248"/>
    <d v="1899-12-30T21:50:00"/>
    <x v="202"/>
    <x v="129"/>
    <d v="1899-12-30T00:00:00"/>
    <x v="0"/>
  </r>
  <r>
    <x v="5"/>
    <x v="65"/>
    <s v="Thu"/>
    <x v="0"/>
    <d v="1899-12-30T21:39:00"/>
    <x v="0"/>
    <x v="278"/>
    <d v="1899-12-30T00:00:00"/>
    <x v="0"/>
  </r>
  <r>
    <x v="5"/>
    <x v="66"/>
    <s v="Fri"/>
    <x v="2"/>
    <m/>
    <x v="2"/>
    <x v="2"/>
    <d v="1899-12-30T08:00:00"/>
    <x v="1"/>
  </r>
  <r>
    <x v="5"/>
    <x v="67"/>
    <s v="Sat"/>
    <x v="2"/>
    <m/>
    <x v="2"/>
    <x v="2"/>
    <d v="1899-12-30T08:00:00"/>
    <x v="1"/>
  </r>
  <r>
    <x v="5"/>
    <x v="68"/>
    <s v="Sun"/>
    <x v="110"/>
    <d v="1899-12-30T23:25:00"/>
    <x v="91"/>
    <x v="59"/>
    <d v="1899-12-30T00:00:00"/>
    <x v="0"/>
  </r>
  <r>
    <x v="5"/>
    <x v="69"/>
    <s v="Mon"/>
    <x v="158"/>
    <d v="1899-12-30T20:20:00"/>
    <x v="129"/>
    <x v="22"/>
    <d v="1899-12-30T00:00:00"/>
    <x v="0"/>
  </r>
  <r>
    <x v="5"/>
    <x v="70"/>
    <s v="Tue"/>
    <x v="73"/>
    <d v="1899-12-30T22:58:00"/>
    <x v="61"/>
    <x v="187"/>
    <d v="1899-12-30T00:00:00"/>
    <x v="0"/>
  </r>
  <r>
    <x v="5"/>
    <x v="71"/>
    <s v="Wed"/>
    <x v="16"/>
    <d v="1899-12-30T22:21:00"/>
    <x v="15"/>
    <x v="118"/>
    <d v="1899-12-30T00:00:00"/>
    <x v="0"/>
  </r>
  <r>
    <x v="5"/>
    <x v="72"/>
    <s v="Thu"/>
    <x v="2"/>
    <m/>
    <x v="2"/>
    <x v="2"/>
    <d v="1899-12-30T08:00:00"/>
    <x v="5"/>
  </r>
  <r>
    <x v="5"/>
    <x v="73"/>
    <s v="Fri"/>
    <x v="2"/>
    <m/>
    <x v="2"/>
    <x v="2"/>
    <d v="1899-12-30T08:00:00"/>
    <x v="1"/>
  </r>
  <r>
    <x v="5"/>
    <x v="74"/>
    <s v="Sat"/>
    <x v="2"/>
    <m/>
    <x v="2"/>
    <x v="2"/>
    <d v="1899-12-30T08:00:00"/>
    <x v="1"/>
  </r>
  <r>
    <x v="5"/>
    <x v="75"/>
    <s v="Sun"/>
    <x v="70"/>
    <d v="1899-12-30T21:54:00"/>
    <x v="58"/>
    <x v="271"/>
    <d v="1899-12-30T00:00:00"/>
    <x v="0"/>
  </r>
  <r>
    <x v="5"/>
    <x v="76"/>
    <s v="Mon"/>
    <x v="57"/>
    <d v="1899-12-30T22:40:00"/>
    <x v="2"/>
    <x v="322"/>
    <d v="1899-12-30T00:00:00"/>
    <x v="0"/>
  </r>
  <r>
    <x v="5"/>
    <x v="77"/>
    <s v="Tue"/>
    <x v="185"/>
    <d v="1899-12-30T20:18:00"/>
    <x v="148"/>
    <x v="300"/>
    <d v="1899-12-30T00:00:00"/>
    <x v="0"/>
  </r>
  <r>
    <x v="5"/>
    <x v="78"/>
    <s v="Wed"/>
    <x v="128"/>
    <d v="1899-12-30T21:20:00"/>
    <x v="103"/>
    <x v="251"/>
    <d v="1899-12-30T00:00:00"/>
    <x v="0"/>
  </r>
  <r>
    <x v="5"/>
    <x v="79"/>
    <s v="Thu"/>
    <x v="136"/>
    <d v="1899-12-30T22:37:00"/>
    <x v="2"/>
    <x v="323"/>
    <d v="1899-12-30T00:00:00"/>
    <x v="0"/>
  </r>
  <r>
    <x v="5"/>
    <x v="80"/>
    <s v="Fri"/>
    <x v="2"/>
    <m/>
    <x v="2"/>
    <x v="2"/>
    <d v="1899-12-30T08:00:00"/>
    <x v="1"/>
  </r>
  <r>
    <x v="5"/>
    <x v="81"/>
    <s v="Sat"/>
    <x v="2"/>
    <m/>
    <x v="2"/>
    <x v="2"/>
    <d v="1899-12-30T08:00:00"/>
    <x v="1"/>
  </r>
  <r>
    <x v="5"/>
    <x v="82"/>
    <s v="Sun"/>
    <x v="16"/>
    <d v="1899-12-30T22:34:00"/>
    <x v="15"/>
    <x v="88"/>
    <d v="1899-12-30T00:00:00"/>
    <x v="0"/>
  </r>
  <r>
    <x v="5"/>
    <x v="83"/>
    <s v="Mon"/>
    <x v="137"/>
    <d v="1899-12-30T23:26:00"/>
    <x v="111"/>
    <x v="302"/>
    <d v="1899-12-30T00:00:00"/>
    <x v="0"/>
  </r>
  <r>
    <x v="5"/>
    <x v="84"/>
    <s v="Tue"/>
    <x v="250"/>
    <d v="1899-12-30T23:40:00"/>
    <x v="203"/>
    <x v="324"/>
    <d v="1899-12-30T00:00:00"/>
    <x v="0"/>
  </r>
  <r>
    <x v="5"/>
    <x v="85"/>
    <s v="Wed"/>
    <x v="246"/>
    <d v="1899-12-30T22:41:00"/>
    <x v="2"/>
    <x v="16"/>
    <d v="1899-12-30T00:00:00"/>
    <x v="0"/>
  </r>
  <r>
    <x v="5"/>
    <x v="86"/>
    <s v="Thu"/>
    <x v="144"/>
    <d v="1899-12-30T21:34:00"/>
    <x v="117"/>
    <x v="64"/>
    <d v="1899-12-30T00:00:00"/>
    <x v="0"/>
  </r>
  <r>
    <x v="5"/>
    <x v="87"/>
    <s v="Fri"/>
    <x v="2"/>
    <m/>
    <x v="2"/>
    <x v="2"/>
    <d v="1899-12-30T08:00:00"/>
    <x v="1"/>
  </r>
  <r>
    <x v="5"/>
    <x v="88"/>
    <s v="Sat"/>
    <x v="2"/>
    <m/>
    <x v="2"/>
    <x v="2"/>
    <d v="1899-12-30T08:00:00"/>
    <x v="1"/>
  </r>
  <r>
    <x v="5"/>
    <x v="89"/>
    <s v="Sun"/>
    <x v="56"/>
    <d v="1899-12-30T20:34:00"/>
    <x v="2"/>
    <x v="281"/>
    <d v="1899-12-30T00:00:00"/>
    <x v="0"/>
  </r>
  <r>
    <x v="5"/>
    <x v="90"/>
    <s v="Mon"/>
    <x v="6"/>
    <d v="1899-12-30T23:51:00"/>
    <x v="5"/>
    <x v="279"/>
    <d v="1899-12-30T00:00:00"/>
    <x v="0"/>
  </r>
  <r>
    <x v="5"/>
    <x v="91"/>
    <s v="Tue"/>
    <x v="251"/>
    <d v="1899-12-30T22:23:00"/>
    <x v="2"/>
    <x v="325"/>
    <d v="1899-12-30T00:00:00"/>
    <x v="0"/>
  </r>
  <r>
    <x v="5"/>
    <x v="92"/>
    <s v="Wed"/>
    <x v="92"/>
    <d v="1899-12-30T21:48:00"/>
    <x v="75"/>
    <x v="141"/>
    <d v="1899-12-30T00:00:00"/>
    <x v="0"/>
  </r>
  <r>
    <x v="5"/>
    <x v="93"/>
    <s v="Thu"/>
    <x v="109"/>
    <d v="1899-12-30T21:36:00"/>
    <x v="90"/>
    <x v="280"/>
    <d v="1899-12-30T00:00:00"/>
    <x v="0"/>
  </r>
  <r>
    <x v="5"/>
    <x v="94"/>
    <s v="Fri"/>
    <x v="2"/>
    <m/>
    <x v="2"/>
    <x v="2"/>
    <d v="1899-12-30T08:00:00"/>
    <x v="1"/>
  </r>
  <r>
    <x v="5"/>
    <x v="95"/>
    <s v="Sat"/>
    <x v="2"/>
    <m/>
    <x v="2"/>
    <x v="2"/>
    <d v="1899-12-30T08:00:00"/>
    <x v="1"/>
  </r>
  <r>
    <x v="5"/>
    <x v="96"/>
    <s v="Sun"/>
    <x v="162"/>
    <d v="1899-12-30T23:43:00"/>
    <x v="133"/>
    <x v="134"/>
    <d v="1899-12-30T00:00:00"/>
    <x v="0"/>
  </r>
  <r>
    <x v="5"/>
    <x v="97"/>
    <s v="Mon"/>
    <x v="215"/>
    <d v="1899-12-30T22:29:00"/>
    <x v="174"/>
    <x v="315"/>
    <d v="1899-12-30T00:00:00"/>
    <x v="0"/>
  </r>
  <r>
    <x v="5"/>
    <x v="98"/>
    <s v="Tue"/>
    <x v="85"/>
    <d v="1899-12-30T22:45:00"/>
    <x v="2"/>
    <x v="326"/>
    <d v="1899-12-30T00:00:00"/>
    <x v="0"/>
  </r>
  <r>
    <x v="5"/>
    <x v="99"/>
    <s v="Wed"/>
    <x v="252"/>
    <d v="1899-12-30T23:16:00"/>
    <x v="204"/>
    <x v="327"/>
    <d v="1899-12-30T00:00:00"/>
    <x v="0"/>
  </r>
  <r>
    <x v="5"/>
    <x v="100"/>
    <s v="Thu"/>
    <x v="45"/>
    <d v="1899-12-30T22:38:00"/>
    <x v="42"/>
    <x v="265"/>
    <d v="1899-12-30T00:00:00"/>
    <x v="0"/>
  </r>
  <r>
    <x v="5"/>
    <x v="101"/>
    <s v="Fri"/>
    <x v="2"/>
    <m/>
    <x v="2"/>
    <x v="2"/>
    <d v="1899-12-30T08:00:00"/>
    <x v="1"/>
  </r>
  <r>
    <x v="5"/>
    <x v="102"/>
    <s v="Sat"/>
    <x v="2"/>
    <m/>
    <x v="2"/>
    <x v="2"/>
    <d v="1899-12-30T08:00:00"/>
    <x v="1"/>
  </r>
  <r>
    <x v="5"/>
    <x v="103"/>
    <s v="Sun"/>
    <x v="243"/>
    <d v="1899-12-30T21:19:00"/>
    <x v="198"/>
    <x v="24"/>
    <d v="1899-12-30T00:00:00"/>
    <x v="0"/>
  </r>
  <r>
    <x v="5"/>
    <x v="104"/>
    <s v="Mon"/>
    <x v="44"/>
    <d v="1899-12-30T20:53:00"/>
    <x v="41"/>
    <x v="121"/>
    <d v="1899-12-30T00:00:00"/>
    <x v="0"/>
  </r>
  <r>
    <x v="5"/>
    <x v="105"/>
    <s v="Tue"/>
    <x v="216"/>
    <d v="1899-12-30T22:29:00"/>
    <x v="175"/>
    <x v="176"/>
    <d v="1899-12-30T00:00:00"/>
    <x v="0"/>
  </r>
  <r>
    <x v="5"/>
    <x v="106"/>
    <s v="Wed"/>
    <x v="71"/>
    <d v="1899-12-30T22:18:00"/>
    <x v="59"/>
    <x v="124"/>
    <d v="1899-12-30T00:00:00"/>
    <x v="0"/>
  </r>
  <r>
    <x v="5"/>
    <x v="107"/>
    <s v="Thu"/>
    <x v="111"/>
    <d v="1899-12-30T22:59:00"/>
    <x v="92"/>
    <x v="53"/>
    <d v="1899-12-30T00:00:00"/>
    <x v="0"/>
  </r>
  <r>
    <x v="5"/>
    <x v="108"/>
    <s v="Fri"/>
    <x v="2"/>
    <m/>
    <x v="2"/>
    <x v="2"/>
    <d v="1899-12-30T08:00:00"/>
    <x v="1"/>
  </r>
  <r>
    <x v="5"/>
    <x v="109"/>
    <s v="Sat"/>
    <x v="2"/>
    <m/>
    <x v="2"/>
    <x v="2"/>
    <d v="1899-12-30T08:00:00"/>
    <x v="1"/>
  </r>
  <r>
    <x v="5"/>
    <x v="110"/>
    <s v="Sun"/>
    <x v="115"/>
    <d v="1899-12-30T23:39:00"/>
    <x v="95"/>
    <x v="210"/>
    <d v="1899-12-30T00:00:00"/>
    <x v="0"/>
  </r>
  <r>
    <x v="5"/>
    <x v="111"/>
    <s v="Mon"/>
    <x v="60"/>
    <d v="1899-12-30T22:59:00"/>
    <x v="2"/>
    <x v="113"/>
    <d v="1899-12-30T00:00:00"/>
    <x v="0"/>
  </r>
  <r>
    <x v="5"/>
    <x v="112"/>
    <s v="Tue"/>
    <x v="54"/>
    <d v="1899-12-30T20:39:00"/>
    <x v="2"/>
    <x v="69"/>
    <d v="1899-12-30T00:00:00"/>
    <x v="0"/>
  </r>
  <r>
    <x v="5"/>
    <x v="113"/>
    <s v="Wed"/>
    <x v="133"/>
    <d v="1899-12-30T21:21:00"/>
    <x v="108"/>
    <x v="287"/>
    <d v="1899-12-30T00:00:00"/>
    <x v="0"/>
  </r>
  <r>
    <x v="5"/>
    <x v="114"/>
    <s v="Thu"/>
    <x v="166"/>
    <d v="1899-12-30T22:59:00"/>
    <x v="2"/>
    <x v="328"/>
    <d v="1899-12-30T00:00:00"/>
    <x v="0"/>
  </r>
  <r>
    <x v="5"/>
    <x v="115"/>
    <s v="Fri"/>
    <x v="2"/>
    <m/>
    <x v="2"/>
    <x v="2"/>
    <d v="1899-12-30T08:00:00"/>
    <x v="1"/>
  </r>
  <r>
    <x v="5"/>
    <x v="116"/>
    <s v="Sat"/>
    <x v="2"/>
    <m/>
    <x v="2"/>
    <x v="2"/>
    <d v="1899-12-30T08:00:00"/>
    <x v="1"/>
  </r>
  <r>
    <x v="5"/>
    <x v="117"/>
    <s v="Sun"/>
    <x v="36"/>
    <d v="1899-12-30T23:53:00"/>
    <x v="34"/>
    <x v="41"/>
    <d v="1899-12-30T00:00:00"/>
    <x v="0"/>
  </r>
  <r>
    <x v="5"/>
    <x v="118"/>
    <s v="Mon"/>
    <x v="202"/>
    <d v="1899-12-30T20:57:00"/>
    <x v="162"/>
    <x v="329"/>
    <d v="1899-12-30T00:00:00"/>
    <x v="0"/>
  </r>
  <r>
    <x v="5"/>
    <x v="119"/>
    <s v="Tue"/>
    <x v="249"/>
    <d v="1899-12-30T22:50:00"/>
    <x v="2"/>
    <x v="225"/>
    <d v="1899-12-30T00:00:00"/>
    <x v="0"/>
  </r>
  <r>
    <x v="5"/>
    <x v="120"/>
    <s v="Wed"/>
    <x v="2"/>
    <m/>
    <x v="2"/>
    <x v="2"/>
    <d v="1899-12-30T08:00:00"/>
    <x v="6"/>
  </r>
  <r>
    <x v="5"/>
    <x v="121"/>
    <s v="Thu"/>
    <x v="186"/>
    <d v="1899-12-30T22:58:00"/>
    <x v="149"/>
    <x v="184"/>
    <d v="1899-12-30T00:00:00"/>
    <x v="0"/>
  </r>
  <r>
    <x v="5"/>
    <x v="122"/>
    <s v="Fri"/>
    <x v="2"/>
    <m/>
    <x v="2"/>
    <x v="2"/>
    <d v="1899-12-30T08:00:00"/>
    <x v="1"/>
  </r>
  <r>
    <x v="5"/>
    <x v="123"/>
    <s v="Sat"/>
    <x v="2"/>
    <m/>
    <x v="2"/>
    <x v="2"/>
    <d v="1899-12-30T08:00:00"/>
    <x v="1"/>
  </r>
  <r>
    <x v="5"/>
    <x v="124"/>
    <s v="Sun"/>
    <x v="81"/>
    <d v="1899-12-30T20:27:00"/>
    <x v="66"/>
    <x v="330"/>
    <d v="1899-12-30T00:00:00"/>
    <x v="0"/>
  </r>
  <r>
    <x v="5"/>
    <x v="125"/>
    <s v="Mon"/>
    <x v="28"/>
    <d v="1899-12-30T20:27:00"/>
    <x v="26"/>
    <x v="208"/>
    <d v="1899-12-30T00:00:00"/>
    <x v="0"/>
  </r>
  <r>
    <x v="5"/>
    <x v="126"/>
    <s v="Tue"/>
    <x v="28"/>
    <d v="1899-12-30T23:17:00"/>
    <x v="26"/>
    <x v="212"/>
    <d v="1899-12-30T00:00:00"/>
    <x v="0"/>
  </r>
  <r>
    <x v="5"/>
    <x v="127"/>
    <s v="Wed"/>
    <x v="4"/>
    <d v="1899-12-30T21:16:00"/>
    <x v="2"/>
    <x v="104"/>
    <d v="1899-12-30T00:00:00"/>
    <x v="0"/>
  </r>
  <r>
    <x v="5"/>
    <x v="128"/>
    <s v="Thu"/>
    <x v="66"/>
    <d v="1899-12-30T23:21:00"/>
    <x v="2"/>
    <x v="331"/>
    <d v="1899-12-30T00:00:00"/>
    <x v="0"/>
  </r>
  <r>
    <x v="5"/>
    <x v="129"/>
    <s v="Fri"/>
    <x v="2"/>
    <m/>
    <x v="2"/>
    <x v="2"/>
    <d v="1899-12-30T08:00:00"/>
    <x v="1"/>
  </r>
  <r>
    <x v="5"/>
    <x v="130"/>
    <s v="Sat"/>
    <x v="2"/>
    <m/>
    <x v="2"/>
    <x v="2"/>
    <d v="1899-12-30T08:00:00"/>
    <x v="1"/>
  </r>
  <r>
    <x v="5"/>
    <x v="131"/>
    <s v="Sun"/>
    <x v="179"/>
    <d v="1899-12-30T22:45:00"/>
    <x v="2"/>
    <x v="133"/>
    <d v="1899-12-30T00:00:00"/>
    <x v="0"/>
  </r>
  <r>
    <x v="5"/>
    <x v="132"/>
    <s v="Mon"/>
    <x v="150"/>
    <d v="1899-12-30T20:44:00"/>
    <x v="121"/>
    <x v="332"/>
    <d v="1899-12-30T00:00:00"/>
    <x v="0"/>
  </r>
  <r>
    <x v="5"/>
    <x v="133"/>
    <s v="Tue"/>
    <x v="22"/>
    <d v="1899-12-30T23:40:00"/>
    <x v="21"/>
    <x v="212"/>
    <d v="1899-12-30T00:00:00"/>
    <x v="0"/>
  </r>
  <r>
    <x v="5"/>
    <x v="134"/>
    <s v="Wed"/>
    <x v="201"/>
    <d v="1899-12-30T20:45:00"/>
    <x v="161"/>
    <x v="291"/>
    <d v="1899-12-30T00:00:00"/>
    <x v="0"/>
  </r>
  <r>
    <x v="5"/>
    <x v="135"/>
    <s v="Thu"/>
    <x v="189"/>
    <d v="1899-12-30T23:36:00"/>
    <x v="152"/>
    <x v="319"/>
    <d v="1899-12-30T00:00:00"/>
    <x v="0"/>
  </r>
  <r>
    <x v="5"/>
    <x v="136"/>
    <s v="Fri"/>
    <x v="2"/>
    <m/>
    <x v="2"/>
    <x v="2"/>
    <d v="1899-12-30T08:00:00"/>
    <x v="1"/>
  </r>
  <r>
    <x v="5"/>
    <x v="137"/>
    <s v="Sat"/>
    <x v="2"/>
    <m/>
    <x v="2"/>
    <x v="2"/>
    <d v="1899-12-30T08:00:00"/>
    <x v="1"/>
  </r>
  <r>
    <x v="5"/>
    <x v="138"/>
    <s v="Sun"/>
    <x v="107"/>
    <d v="1899-12-30T20:23:00"/>
    <x v="88"/>
    <x v="333"/>
    <d v="1899-12-30T00:00:00"/>
    <x v="0"/>
  </r>
  <r>
    <x v="5"/>
    <x v="139"/>
    <s v="Mon"/>
    <x v="177"/>
    <d v="1899-12-30T20:42:00"/>
    <x v="2"/>
    <x v="222"/>
    <d v="1899-12-30T00:00:00"/>
    <x v="0"/>
  </r>
  <r>
    <x v="5"/>
    <x v="140"/>
    <s v="Tue"/>
    <x v="171"/>
    <d v="1899-12-30T21:58:00"/>
    <x v="139"/>
    <x v="47"/>
    <d v="1899-12-30T00:00:00"/>
    <x v="0"/>
  </r>
  <r>
    <x v="5"/>
    <x v="141"/>
    <s v="Wed"/>
    <x v="91"/>
    <d v="1899-12-30T23:52:00"/>
    <x v="74"/>
    <x v="17"/>
    <d v="1899-12-30T00:00:00"/>
    <x v="0"/>
  </r>
  <r>
    <x v="5"/>
    <x v="142"/>
    <s v="Thu"/>
    <x v="113"/>
    <d v="1899-12-30T23:27:00"/>
    <x v="94"/>
    <x v="75"/>
    <d v="1899-12-30T00:00:00"/>
    <x v="0"/>
  </r>
  <r>
    <x v="5"/>
    <x v="143"/>
    <s v="Fri"/>
    <x v="2"/>
    <m/>
    <x v="2"/>
    <x v="2"/>
    <d v="1899-12-30T08:00:00"/>
    <x v="1"/>
  </r>
  <r>
    <x v="5"/>
    <x v="144"/>
    <s v="Sat"/>
    <x v="2"/>
    <m/>
    <x v="2"/>
    <x v="2"/>
    <d v="1899-12-30T08:00:00"/>
    <x v="1"/>
  </r>
  <r>
    <x v="5"/>
    <x v="145"/>
    <s v="Sun"/>
    <x v="233"/>
    <d v="1899-12-30T21:24:00"/>
    <x v="190"/>
    <x v="281"/>
    <d v="1899-12-30T00:00:00"/>
    <x v="0"/>
  </r>
  <r>
    <x v="5"/>
    <x v="146"/>
    <s v="Mon"/>
    <x v="118"/>
    <d v="1899-12-30T21:47:00"/>
    <x v="98"/>
    <x v="309"/>
    <d v="1899-12-30T00:00:00"/>
    <x v="0"/>
  </r>
  <r>
    <x v="5"/>
    <x v="147"/>
    <s v="Tue"/>
    <x v="101"/>
    <d v="1899-12-30T21:40:00"/>
    <x v="83"/>
    <x v="230"/>
    <d v="1899-12-30T00:00:00"/>
    <x v="0"/>
  </r>
  <r>
    <x v="5"/>
    <x v="148"/>
    <s v="Wed"/>
    <x v="253"/>
    <d v="1899-12-30T23:26:00"/>
    <x v="2"/>
    <x v="334"/>
    <d v="1899-12-30T00:00:00"/>
    <x v="0"/>
  </r>
  <r>
    <x v="5"/>
    <x v="149"/>
    <s v="Thu"/>
    <x v="43"/>
    <d v="1899-12-30T21:25:00"/>
    <x v="40"/>
    <x v="105"/>
    <d v="1899-12-30T00:00:00"/>
    <x v="0"/>
  </r>
  <r>
    <x v="5"/>
    <x v="150"/>
    <s v="Fri"/>
    <x v="2"/>
    <m/>
    <x v="2"/>
    <x v="2"/>
    <d v="1899-12-30T08:00:0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510CC8-D623-46CB-A2B1-E307C7DAD681}" name="PivotTable9"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S6:S7" firstHeaderRow="1" firstDataRow="1" firstDataCol="0"/>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dataField="1"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20" showAll="0"/>
    <pivotField showAll="0"/>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Sum of Delay" fld="5" baseField="0" baseItem="0" numFmtId="164"/>
  </dataFields>
  <formats count="1">
    <format dxfId="52">
      <pivotArea outline="0" collapsedLevelsAreSubtotals="1" fieldPosition="0"/>
    </format>
  </formats>
  <pivotTableStyleInfo name="PivotStyleLight16" showRowHeaders="1" showColHeaders="1" showRowStripes="0" showColStripes="0" showLastColumn="1"/>
  <filters count="1">
    <filter fld="1" type="dateBetween" evalOrder="-1" id="214"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773132-C199-44D5-8D03-4C569349E905}" name="PivotTable5"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D6:E158" firstHeaderRow="1" firstDataRow="1" firstDataCol="1"/>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dataField="1"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20"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9"/>
  </rowFields>
  <rowItems count="152">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t="grand">
      <x/>
    </i>
  </rowItems>
  <colItems count="1">
    <i/>
  </colItems>
  <dataFields count="1">
    <dataField name="Sum of Time In" fld="3" baseField="9" baseItem="1" numFmtId="165"/>
  </dataFields>
  <pivotTableStyleInfo name="PivotStyleLight16" showRowHeaders="1" showColHeaders="1" showRowStripes="0" showColStripes="0" showLastColumn="1"/>
  <filters count="1">
    <filter fld="1" type="dateBetween" evalOrder="-1" id="271"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CDF8D17-E4A5-4A65-BC44-4825FBF7835F}" name="PivotTable3"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N9:AN61" firstHeaderRow="1" firstDataRow="1" firstDataCol="1"/>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axis="axisRow"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164" showAll="0"/>
    <pivotField showAll="0"/>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axis="axisRow"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axis="axisRow" showAll="0" sortType="ascending">
      <items count="27">
        <item sd="0" x="0"/>
        <item sd="0" x="25"/>
        <item sd="0" x="2"/>
        <item sd="0" x="14"/>
        <item sd="0" x="11"/>
        <item sd="0" x="23"/>
        <item sd="0" x="12"/>
        <item sd="0" x="24"/>
        <item sd="0" x="1"/>
        <item sd="0" x="13"/>
        <item sd="0" x="3"/>
        <item sd="0" x="15"/>
        <item sd="0" x="4"/>
        <item sd="0" x="16"/>
        <item sd="0" x="5"/>
        <item sd="0" x="17"/>
        <item sd="0" x="6"/>
        <item sd="0" x="18"/>
        <item sd="0" x="7"/>
        <item sd="0" x="19"/>
        <item sd="0" x="8"/>
        <item sd="0" x="20"/>
        <item sd="0" x="9"/>
        <item sd="0" x="21"/>
        <item sd="0" x="10"/>
        <item sd="0" x="22"/>
        <item t="default"/>
      </items>
    </pivotField>
  </pivotFields>
  <rowFields count="3">
    <field x="15"/>
    <field x="16"/>
    <field x="6"/>
  </rowFields>
  <rowItems count="52">
    <i>
      <x v="1"/>
    </i>
    <i>
      <x v="2"/>
    </i>
    <i>
      <x v="3"/>
    </i>
    <i>
      <x v="5"/>
    </i>
    <i>
      <x v="6"/>
    </i>
    <i>
      <x v="8"/>
    </i>
    <i>
      <x v="9"/>
    </i>
    <i>
      <x v="10"/>
    </i>
    <i>
      <x v="11"/>
    </i>
    <i>
      <x v="12"/>
    </i>
    <i>
      <x v="13"/>
    </i>
    <i>
      <x v="14"/>
    </i>
    <i>
      <x v="16"/>
    </i>
    <i>
      <x v="17"/>
    </i>
    <i>
      <x v="18"/>
    </i>
    <i>
      <x v="19"/>
    </i>
    <i>
      <x v="21"/>
    </i>
    <i>
      <x v="23"/>
    </i>
    <i>
      <x v="24"/>
    </i>
    <i>
      <x v="25"/>
    </i>
    <i>
      <x v="26"/>
    </i>
    <i>
      <x v="27"/>
    </i>
    <i>
      <x v="29"/>
    </i>
    <i>
      <x v="30"/>
    </i>
    <i>
      <x v="31"/>
    </i>
    <i>
      <x v="32"/>
    </i>
    <i>
      <x v="33"/>
    </i>
    <i>
      <x v="34"/>
    </i>
    <i>
      <x v="35"/>
    </i>
    <i>
      <x v="36"/>
    </i>
    <i>
      <x v="37"/>
    </i>
    <i>
      <x v="38"/>
    </i>
    <i>
      <x v="39"/>
    </i>
    <i>
      <x v="40"/>
    </i>
    <i>
      <x v="41"/>
    </i>
    <i>
      <x v="42"/>
    </i>
    <i>
      <x v="43"/>
    </i>
    <i>
      <x v="44"/>
    </i>
    <i>
      <x v="45"/>
    </i>
    <i>
      <x v="47"/>
    </i>
    <i>
      <x v="48"/>
    </i>
    <i>
      <x v="49"/>
    </i>
    <i>
      <x v="50"/>
    </i>
    <i>
      <x v="51"/>
    </i>
    <i>
      <x v="52"/>
    </i>
    <i>
      <x v="54"/>
    </i>
    <i>
      <x v="55"/>
    </i>
    <i>
      <x v="56"/>
    </i>
    <i>
      <x v="57"/>
    </i>
    <i>
      <x v="58"/>
    </i>
    <i>
      <x v="59"/>
    </i>
    <i t="grand">
      <x/>
    </i>
  </rowItems>
  <colItems count="1">
    <i/>
  </colItems>
  <pivotTableStyleInfo name="PivotStyleLight16" showRowHeaders="1" showColHeaders="1" showRowStripes="0" showColStripes="0" showLastColumn="1"/>
  <filters count="1">
    <filter fld="1" type="dateBetween" evalOrder="-1" id="214"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2BE29FC-88FD-48F4-88C7-7CE0EE772E2A}"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6:N7" firstHeaderRow="1" firstDataRow="1" firstDataCol="0"/>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dataField="1"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20"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Sum of Time In" fld="3" baseField="0" baseItem="0" numFmtId="164"/>
  </dataFields>
  <formats count="1">
    <format dxfId="5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8F26503-C065-4896-BD51-942FA4BDFAD8}" name="PivotTable7"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P6:P7" firstHeaderRow="1" firstDataRow="1" firstDataCol="0"/>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dataField="1"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20" showAll="0"/>
    <pivotField showAll="0"/>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Sum of Time Out" fld="4" baseField="0" baseItem="0" numFmtId="164"/>
  </dataFields>
  <formats count="1">
    <format dxfId="54">
      <pivotArea outline="0" collapsedLevelsAreSubtotals="1" fieldPosition="0"/>
    </format>
  </formats>
  <pivotTableStyleInfo name="PivotStyleLight16" showRowHeaders="1" showColHeaders="1" showRowStripes="0" showColStripes="0" showLastColumn="1"/>
  <filters count="1">
    <filter fld="1" type="dateBetween" evalOrder="-1" id="214"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3E2C3A9-315C-485A-873D-05E3A1689172}" name="PivotTable1"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U6:V14" firstHeaderRow="1" firstDataRow="1" firstDataCol="1"/>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20" showAll="0"/>
    <pivotField axis="axisRow" dataField="1" showAll="0" sortType="descending">
      <items count="8">
        <item sd="0" x="4"/>
        <item sd="0" x="3"/>
        <item sd="0" x="6"/>
        <item sd="0" x="5"/>
        <item x="1"/>
        <item x="2"/>
        <item x="0"/>
        <item t="default"/>
      </items>
    </pivotField>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8"/>
  </rowFields>
  <rowItems count="8">
    <i>
      <x/>
    </i>
    <i>
      <x v="1"/>
    </i>
    <i>
      <x v="2"/>
    </i>
    <i>
      <x v="3"/>
    </i>
    <i>
      <x v="4"/>
    </i>
    <i>
      <x v="5"/>
    </i>
    <i>
      <x v="6"/>
    </i>
    <i t="grand">
      <x/>
    </i>
  </rowItems>
  <colItems count="1">
    <i/>
  </colItems>
  <dataFields count="1">
    <dataField name="Count of Note" fld="8" subtotal="count" baseField="0" baseItem="0"/>
  </dataFields>
  <pivotTableStyleInfo name="PivotStyleLight16" showRowHeaders="1" showColHeaders="1" showRowStripes="0" showColStripes="0" showLastColumn="1"/>
  <filters count="1">
    <filter fld="1" type="dateBetween" evalOrder="-1" id="214"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1DEC79-A03C-4D75-9691-1C23AAE10681}" name="PivotTable8"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A7:BA9" firstHeaderRow="1" firstDataRow="1" firstDataCol="1"/>
  <pivotFields count="17">
    <pivotField axis="axisRow" showAll="0" sortType="ascending">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164" showAll="0"/>
    <pivotField showAll="0"/>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0"/>
  </rowFields>
  <rowItems count="2">
    <i>
      <x/>
    </i>
    <i t="grand">
      <x/>
    </i>
  </rowItems>
  <colItems count="1">
    <i/>
  </colItems>
  <formats count="4">
    <format dxfId="58">
      <pivotArea type="all" dataOnly="0" outline="0" fieldPosition="0"/>
    </format>
    <format dxfId="57">
      <pivotArea field="0" type="button" dataOnly="0" labelOnly="1" outline="0" axis="axisRow" fieldPosition="0"/>
    </format>
    <format dxfId="56">
      <pivotArea dataOnly="0" labelOnly="1" fieldPosition="0">
        <references count="1">
          <reference field="0" count="0"/>
        </references>
      </pivotArea>
    </format>
    <format dxfId="55">
      <pivotArea dataOnly="0" labelOnly="1" grandRow="1" outline="0" fieldPosition="0"/>
    </format>
  </formats>
  <pivotTableStyleInfo name="PivotStyleLight16" showRowHeaders="1" showColHeaders="1" showRowStripes="0" showColStripes="0" showLastColumn="1"/>
  <filters count="1">
    <filter fld="1" type="dateBetween" evalOrder="-1" id="214"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27A2532-670A-45FA-BBC4-37B8A6B7C274}" name="PivotTable4" cacheId="1"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152">
  <location ref="AQ8:AR13" firstHeaderRow="1" firstDataRow="1" firstDataCol="1"/>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dataField="1"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164"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1"/>
        <item sd="0" x="2"/>
        <item sd="0" x="3"/>
        <item sd="0" x="4"/>
        <item sd="0" x="5"/>
        <item sd="0" x="6"/>
        <item sd="0" x="7"/>
        <item sd="0" x="8"/>
        <item sd="0" x="9"/>
        <item sd="0" x="10"/>
        <item sd="0" x="11"/>
        <item sd="0" x="12"/>
        <item sd="0" x="0"/>
        <item sd="0" x="13"/>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10"/>
  </rowFields>
  <rowItems count="5">
    <i>
      <x/>
    </i>
    <i>
      <x v="1"/>
    </i>
    <i>
      <x v="2"/>
    </i>
    <i>
      <x v="3"/>
    </i>
    <i>
      <x v="4"/>
    </i>
  </rowItems>
  <colItems count="1">
    <i/>
  </colItems>
  <dataFields count="1">
    <dataField name="Sum of Working Hours" fld="6" baseField="10" baseItem="4" numFmtId="164"/>
  </dataFields>
  <formats count="6">
    <format dxfId="64">
      <pivotArea outline="0" collapsedLevelsAreSubtotals="1" fieldPosition="0"/>
    </format>
    <format dxfId="63">
      <pivotArea type="all" dataOnly="0" outline="0" fieldPosition="0"/>
    </format>
    <format dxfId="62">
      <pivotArea outline="0" collapsedLevelsAreSubtotals="1" fieldPosition="0"/>
    </format>
    <format dxfId="61">
      <pivotArea field="10" type="button" dataOnly="0" labelOnly="1" outline="0" axis="axisRow" fieldPosition="0"/>
    </format>
    <format dxfId="60">
      <pivotArea dataOnly="0" labelOnly="1" fieldPosition="0">
        <references count="1">
          <reference field="10" count="5">
            <x v="0"/>
            <x v="1"/>
            <x v="2"/>
            <x v="3"/>
            <x v="4"/>
          </reference>
        </references>
      </pivotArea>
    </format>
    <format dxfId="59">
      <pivotArea dataOnly="0" labelOnly="1" outline="0" axis="axisValues" fieldPosition="0"/>
    </format>
  </formats>
  <chartFormats count="3">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214"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
  <rv s="0">
    <v>0</v>
    <v>5</v>
  </rv>
  <rv s="0">
    <v>1</v>
    <v>5</v>
  </rv>
  <rv s="0">
    <v>2</v>
    <v>5</v>
  </rv>
  <rv s="0">
    <v>3</v>
    <v>5</v>
  </rv>
  <rv s="0">
    <v>4</v>
    <v>5</v>
  </rv>
  <rv s="0">
    <v>5</v>
    <v>5</v>
  </rv>
  <rv s="0">
    <v>0</v>
    <v>4</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Name" xr10:uid="{6729B990-5993-4887-AA68-EDC7B84A06CE}" sourceName="Employee Name">
  <pivotTables>
    <pivotTable tabId="4" name="PivotTable8"/>
    <pivotTable tabId="4" name="PivotTable1"/>
    <pivotTable tabId="4" name="PivotTable3"/>
    <pivotTable tabId="4" name="PivotTable4"/>
    <pivotTable tabId="4" name="PivotTable9"/>
    <pivotTable tabId="4" name="PivotTable6"/>
    <pivotTable tabId="4" name="PivotTable7"/>
    <pivotTable tabId="4" name="PivotTable5"/>
  </pivotTables>
  <data>
    <tabular pivotCacheId="1436234216">
      <items count="7">
        <i x="0" s="1"/>
        <i x="1"/>
        <i x="2"/>
        <i x="3"/>
        <i x="4"/>
        <i x="5"/>
        <i x="6"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Name 2" xr10:uid="{22A6A29E-8178-44C0-8486-655D0A4404F5}" cache="Slicer_Employee_Name" caption="Employee Name" columnCount="3" showCaption="0" style="Slicer Style 5"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Name 1" xr10:uid="{94E436AB-CF01-4B65-B2CF-8BAD6BB3C594}" cache="Slicer_Employee_Name" caption="Employee Name" rowHeight="257175"/>
  <slicer name="Employee Name" xr10:uid="{7A553E87-F989-4943-8E8F-638BF70178AF}" cache="Slicer_Employee_Name" caption="Employee Name"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505C7B-A8D1-4ECF-A1F9-78F987816960}" name="Table4" displayName="Table4" ref="C10:K916" totalsRowShown="0" headerRowDxfId="78" dataDxfId="76" headerRowBorderDxfId="77" tableBorderDxfId="75" totalsRowBorderDxfId="74">
  <tableColumns count="9">
    <tableColumn id="1" xr3:uid="{AAECFEEB-1784-4CDF-A8FA-C79DDD40A6A6}" name="Employee Name" dataDxfId="73"/>
    <tableColumn id="2" xr3:uid="{1B7E18AB-4EFD-4A06-8542-47A419D41975}" name="Date" dataDxfId="72"/>
    <tableColumn id="3" xr3:uid="{A3B3E9A3-DB0C-4054-9EF7-C9083263FD91}" name="Day" dataDxfId="71"/>
    <tableColumn id="4" xr3:uid="{9FE05A37-97C6-4400-93BF-31059076F057}" name="Time In" dataDxfId="70"/>
    <tableColumn id="5" xr3:uid="{026A9E13-0FD0-4E6E-9802-4259D7F6D609}" name="Time Out" dataDxfId="69"/>
    <tableColumn id="6" xr3:uid="{E187A495-B536-4C3B-829C-DB92F75A29E2}" name="Delay" dataDxfId="68">
      <calculatedColumnFormula>IF($F11&gt;$F$6,$F11-$F$6,0)</calculatedColumnFormula>
    </tableColumn>
    <tableColumn id="7" xr3:uid="{3742DCEB-8674-4F6A-88E5-1CA3B6D7895E}" name="Working Hours" dataDxfId="67">
      <calculatedColumnFormula>$G11-$F11</calculatedColumnFormula>
    </tableColumn>
    <tableColumn id="8" xr3:uid="{9C61C288-84B2-416E-AD7D-BDF9AE312DD4}" name="Short" dataDxfId="66">
      <calculatedColumnFormula>IF($I$11&gt;Table4[[#This Row],[Working Hours]],$F$6-Table4[[#This Row],[Working Hours]],0)</calculatedColumnFormula>
    </tableColumn>
    <tableColumn id="9" xr3:uid="{2B1724D7-4049-4437-A196-5D7C278153A9}" name="Note" dataDxfId="6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3DC77B46-99F7-49A1-B6A1-F55AF05B08BC}" sourceName="Date">
  <pivotTables>
    <pivotTable tabId="4" name="PivotTable5"/>
    <pivotTable tabId="4" name="PivotTable1"/>
    <pivotTable tabId="4" name="PivotTable3"/>
    <pivotTable tabId="4" name="PivotTable4"/>
    <pivotTable tabId="4" name="PivotTable7"/>
    <pivotTable tabId="4" name="PivotTable8"/>
    <pivotTable tabId="4" name="PivotTable9"/>
  </pivotTables>
  <state minimalRefreshVersion="6" lastRefreshVersion="6" pivotCacheId="1436234216" filterType="dateBetween">
    <selection startDate="2025-01-01T00:00:00" endDate="2025-07-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4E1D814A-BAC4-40F8-AFA2-9BA4BD90E275}" cache="NativeTimeline_Date" caption="Date" level="2" selectionLevel="2" scrollPosition="2025-01-01T00:00:00" style="Timeline Style 1"/>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2.xml"/><Relationship Id="rId4" Type="http://schemas.openxmlformats.org/officeDocument/2006/relationships/pivotTable" Target="../pivotTables/pivotTable4.xml"/><Relationship Id="rId9"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71C08-BE10-4BDB-881E-A4AAD1330F12}">
  <sheetPr codeName="Sheet1"/>
  <dimension ref="A4:O916"/>
  <sheetViews>
    <sheetView showGridLines="0" showRowColHeaders="0" zoomScale="70" zoomScaleNormal="70" workbookViewId="0">
      <selection activeCell="G8" sqref="G8"/>
    </sheetView>
  </sheetViews>
  <sheetFormatPr defaultColWidth="8.28515625" defaultRowHeight="15" x14ac:dyDescent="0.25"/>
  <cols>
    <col min="1" max="2" width="8.28515625" style="11"/>
    <col min="3" max="3" width="23.140625" style="11" customWidth="1"/>
    <col min="4" max="4" width="12" style="11" customWidth="1"/>
    <col min="5" max="5" width="8.28515625" style="11"/>
    <col min="6" max="6" width="12.5703125" style="11" customWidth="1"/>
    <col min="7" max="7" width="25.42578125" style="11" customWidth="1"/>
    <col min="8" max="8" width="12.85546875" style="11" customWidth="1"/>
    <col min="9" max="9" width="19.5703125" style="11" customWidth="1"/>
    <col min="10" max="10" width="17.5703125" style="11" customWidth="1"/>
    <col min="11" max="11" width="24.140625" style="11" customWidth="1"/>
    <col min="12" max="12" width="8.28515625" style="11"/>
    <col min="13" max="13" width="23.85546875" style="11" customWidth="1"/>
    <col min="14" max="14" width="31" style="11" customWidth="1"/>
    <col min="15" max="15" width="26.7109375" style="11" customWidth="1"/>
    <col min="16" max="16384" width="8.28515625" style="11"/>
  </cols>
  <sheetData>
    <row r="4" spans="1:15" ht="25.5" x14ac:dyDescent="0.25">
      <c r="B4" s="18" t="s">
        <v>73</v>
      </c>
    </row>
    <row r="5" spans="1:15" ht="25.5" x14ac:dyDescent="0.3">
      <c r="B5" s="18" t="s">
        <v>74</v>
      </c>
      <c r="F5" s="16" t="s">
        <v>0</v>
      </c>
      <c r="G5" s="16" t="s">
        <v>1</v>
      </c>
      <c r="H5" s="16" t="s">
        <v>2</v>
      </c>
      <c r="I5" s="16" t="s">
        <v>3</v>
      </c>
      <c r="J5" s="16" t="s">
        <v>4</v>
      </c>
      <c r="K5" s="16" t="s">
        <v>72</v>
      </c>
      <c r="L5" s="17" t="s">
        <v>70</v>
      </c>
      <c r="M5" s="16" t="s">
        <v>71</v>
      </c>
      <c r="N5" s="16" t="s">
        <v>5</v>
      </c>
      <c r="O5" s="16" t="s">
        <v>6</v>
      </c>
    </row>
    <row r="6" spans="1:15" x14ac:dyDescent="0.25">
      <c r="F6" s="4">
        <v>0.33333333333333331</v>
      </c>
      <c r="G6" s="3">
        <v>8</v>
      </c>
      <c r="H6" s="3" t="s">
        <v>7</v>
      </c>
      <c r="I6" s="3" t="s">
        <v>8</v>
      </c>
      <c r="J6" s="5">
        <v>45683</v>
      </c>
      <c r="K6" s="5">
        <v>45671</v>
      </c>
      <c r="L6" s="6">
        <v>45730</v>
      </c>
      <c r="M6" s="5">
        <v>45778</v>
      </c>
      <c r="N6" s="3">
        <v>184</v>
      </c>
      <c r="O6" s="3">
        <v>40</v>
      </c>
    </row>
    <row r="7" spans="1:15" x14ac:dyDescent="0.25">
      <c r="A7" s="14"/>
      <c r="K7" s="14"/>
    </row>
    <row r="8" spans="1:15" x14ac:dyDescent="0.25">
      <c r="A8" s="14"/>
    </row>
    <row r="10" spans="1:15" ht="18.75" x14ac:dyDescent="0.25">
      <c r="C10" s="21" t="s">
        <v>9</v>
      </c>
      <c r="D10" s="22" t="s">
        <v>10</v>
      </c>
      <c r="E10" s="22" t="s">
        <v>11</v>
      </c>
      <c r="F10" s="22" t="s">
        <v>12</v>
      </c>
      <c r="G10" s="22" t="s">
        <v>13</v>
      </c>
      <c r="H10" s="22" t="s">
        <v>14</v>
      </c>
      <c r="I10" s="22" t="s">
        <v>15</v>
      </c>
      <c r="J10" s="22" t="s">
        <v>16</v>
      </c>
      <c r="K10" s="23" t="s">
        <v>17</v>
      </c>
    </row>
    <row r="11" spans="1:15" x14ac:dyDescent="0.25">
      <c r="C11" s="19" t="s">
        <v>68</v>
      </c>
      <c r="D11" s="8">
        <v>45658</v>
      </c>
      <c r="E11" s="7" t="s">
        <v>18</v>
      </c>
      <c r="F11" s="9">
        <v>0.42638888888888887</v>
      </c>
      <c r="G11" s="4">
        <v>0.81527777777777777</v>
      </c>
      <c r="H11" s="10">
        <f>IF($F11&gt;$F$6,$F11-$F$6,0)</f>
        <v>9.3055555555555558E-2</v>
      </c>
      <c r="I11" s="10">
        <f>$G11-$F11</f>
        <v>0.3888888888888889</v>
      </c>
      <c r="J11" s="35">
        <f>IF($I$11&gt;Table4[[#This Row],[Working Hours]],$F$6-Table4[[#This Row],[Working Hours]],0)</f>
        <v>0</v>
      </c>
      <c r="K11" s="20" t="s">
        <v>239</v>
      </c>
    </row>
    <row r="12" spans="1:15" x14ac:dyDescent="0.25">
      <c r="C12" s="19" t="s">
        <v>68</v>
      </c>
      <c r="D12" s="8">
        <v>45659</v>
      </c>
      <c r="E12" s="7" t="s">
        <v>19</v>
      </c>
      <c r="F12" s="9">
        <v>0.49722222222222223</v>
      </c>
      <c r="G12" s="9">
        <v>0.94444444444444453</v>
      </c>
      <c r="H12" s="10">
        <f t="shared" ref="H12:H75" si="0">IF($F12&gt;$F$6,$F12-$F$6,0)</f>
        <v>0.16388888888888892</v>
      </c>
      <c r="I12" s="10">
        <f t="shared" ref="I12:I75" si="1">$G12-$F12</f>
        <v>0.4472222222222223</v>
      </c>
      <c r="J12" s="35">
        <f>IF($I$11&gt;Table4[[#This Row],[Working Hours]],$F$6-Table4[[#This Row],[Working Hours]],0)</f>
        <v>0</v>
      </c>
      <c r="K12" s="20" t="s">
        <v>239</v>
      </c>
    </row>
    <row r="13" spans="1:15" x14ac:dyDescent="0.25">
      <c r="C13" s="19" t="s">
        <v>68</v>
      </c>
      <c r="D13" s="8">
        <v>45660</v>
      </c>
      <c r="E13" s="7" t="s">
        <v>7</v>
      </c>
      <c r="F13" s="9"/>
      <c r="G13" s="9"/>
      <c r="H13" s="10">
        <f t="shared" si="0"/>
        <v>0</v>
      </c>
      <c r="I13" s="10">
        <f t="shared" si="1"/>
        <v>0</v>
      </c>
      <c r="J13" s="35">
        <f>IF($I$11&gt;Table4[[#This Row],[Working Hours]],$F$6-Table4[[#This Row],[Working Hours]],0)</f>
        <v>0.33333333333333331</v>
      </c>
      <c r="K13" s="20" t="s">
        <v>240</v>
      </c>
    </row>
    <row r="14" spans="1:15" x14ac:dyDescent="0.25">
      <c r="C14" s="19" t="s">
        <v>68</v>
      </c>
      <c r="D14" s="8">
        <v>45661</v>
      </c>
      <c r="E14" s="7" t="s">
        <v>8</v>
      </c>
      <c r="F14" s="9"/>
      <c r="G14" s="9"/>
      <c r="H14" s="10">
        <f t="shared" si="0"/>
        <v>0</v>
      </c>
      <c r="I14" s="10">
        <f t="shared" si="1"/>
        <v>0</v>
      </c>
      <c r="J14" s="35">
        <f>IF($I$11&gt;Table4[[#This Row],[Working Hours]],$F$6-Table4[[#This Row],[Working Hours]],0)</f>
        <v>0.33333333333333331</v>
      </c>
      <c r="K14" s="20" t="s">
        <v>240</v>
      </c>
    </row>
    <row r="15" spans="1:15" x14ac:dyDescent="0.25">
      <c r="C15" s="19" t="s">
        <v>68</v>
      </c>
      <c r="D15" s="8">
        <v>45662</v>
      </c>
      <c r="E15" s="7" t="s">
        <v>20</v>
      </c>
      <c r="F15" s="9">
        <v>0.48125000000000001</v>
      </c>
      <c r="G15" s="9">
        <v>0.82500000000000007</v>
      </c>
      <c r="H15" s="10">
        <f t="shared" si="0"/>
        <v>0.1479166666666667</v>
      </c>
      <c r="I15" s="10">
        <f t="shared" si="1"/>
        <v>0.34375000000000006</v>
      </c>
      <c r="J15" s="35">
        <v>0</v>
      </c>
      <c r="K15" s="20" t="s">
        <v>239</v>
      </c>
    </row>
    <row r="16" spans="1:15" x14ac:dyDescent="0.25">
      <c r="C16" s="19" t="s">
        <v>68</v>
      </c>
      <c r="D16" s="8">
        <v>45663</v>
      </c>
      <c r="E16" s="7" t="s">
        <v>21</v>
      </c>
      <c r="F16" s="9"/>
      <c r="G16" s="9"/>
      <c r="H16" s="10">
        <f t="shared" si="0"/>
        <v>0</v>
      </c>
      <c r="I16" s="10">
        <f t="shared" si="1"/>
        <v>0</v>
      </c>
      <c r="J16" s="35">
        <f>IF($I$11&gt;Table4[[#This Row],[Working Hours]],$F$6-Table4[[#This Row],[Working Hours]],0)</f>
        <v>0.33333333333333331</v>
      </c>
      <c r="K16" s="20" t="s">
        <v>238</v>
      </c>
    </row>
    <row r="17" spans="1:11" x14ac:dyDescent="0.25">
      <c r="C17" s="19" t="s">
        <v>68</v>
      </c>
      <c r="D17" s="8">
        <v>45664</v>
      </c>
      <c r="E17" s="7" t="s">
        <v>22</v>
      </c>
      <c r="F17" s="9">
        <v>0.30069444444444443</v>
      </c>
      <c r="G17" s="9">
        <v>0.67708333333333337</v>
      </c>
      <c r="H17" s="10">
        <f t="shared" si="0"/>
        <v>0</v>
      </c>
      <c r="I17" s="10">
        <f t="shared" si="1"/>
        <v>0.37638888888888894</v>
      </c>
      <c r="J17" s="35">
        <v>0</v>
      </c>
      <c r="K17" s="20" t="s">
        <v>239</v>
      </c>
    </row>
    <row r="18" spans="1:11" x14ac:dyDescent="0.25">
      <c r="C18" s="19" t="s">
        <v>68</v>
      </c>
      <c r="D18" s="8">
        <v>45665</v>
      </c>
      <c r="E18" s="7" t="s">
        <v>18</v>
      </c>
      <c r="F18" s="9">
        <v>0.4909722222222222</v>
      </c>
      <c r="G18" s="9">
        <v>0.7284722222222223</v>
      </c>
      <c r="H18" s="10">
        <f t="shared" si="0"/>
        <v>0.15763888888888888</v>
      </c>
      <c r="I18" s="10">
        <f t="shared" si="1"/>
        <v>0.2375000000000001</v>
      </c>
      <c r="J18" s="35">
        <f>IF($I$11&gt;Table4[[#This Row],[Working Hours]],$F$6-Table4[[#This Row],[Working Hours]],0)</f>
        <v>9.5833333333333215E-2</v>
      </c>
      <c r="K18" s="20" t="s">
        <v>239</v>
      </c>
    </row>
    <row r="19" spans="1:11" x14ac:dyDescent="0.25">
      <c r="C19" s="19" t="s">
        <v>68</v>
      </c>
      <c r="D19" s="8">
        <v>45666</v>
      </c>
      <c r="E19" s="7" t="s">
        <v>19</v>
      </c>
      <c r="F19" s="9">
        <v>0.40902777777777777</v>
      </c>
      <c r="G19" s="9">
        <v>0.82291666666666663</v>
      </c>
      <c r="H19" s="10">
        <f t="shared" si="0"/>
        <v>7.5694444444444453E-2</v>
      </c>
      <c r="I19" s="10">
        <f t="shared" si="1"/>
        <v>0.41388888888888886</v>
      </c>
      <c r="J19" s="35">
        <f>IF($I$11&gt;Table4[[#This Row],[Working Hours]],$F$6-Table4[[#This Row],[Working Hours]],0)</f>
        <v>0</v>
      </c>
      <c r="K19" s="20" t="s">
        <v>239</v>
      </c>
    </row>
    <row r="20" spans="1:11" x14ac:dyDescent="0.25">
      <c r="A20" s="15"/>
      <c r="C20" s="19" t="s">
        <v>68</v>
      </c>
      <c r="D20" s="8">
        <v>45667</v>
      </c>
      <c r="E20" s="7" t="s">
        <v>7</v>
      </c>
      <c r="F20" s="9"/>
      <c r="G20" s="9"/>
      <c r="H20" s="10">
        <f t="shared" si="0"/>
        <v>0</v>
      </c>
      <c r="I20" s="10">
        <f t="shared" si="1"/>
        <v>0</v>
      </c>
      <c r="J20" s="35">
        <f>IF($I$11&gt;Table4[[#This Row],[Working Hours]],$F$6-Table4[[#This Row],[Working Hours]],0)</f>
        <v>0.33333333333333331</v>
      </c>
      <c r="K20" s="20" t="s">
        <v>240</v>
      </c>
    </row>
    <row r="21" spans="1:11" x14ac:dyDescent="0.25">
      <c r="C21" s="19" t="s">
        <v>68</v>
      </c>
      <c r="D21" s="8">
        <v>45668</v>
      </c>
      <c r="E21" s="7" t="s">
        <v>8</v>
      </c>
      <c r="F21" s="9"/>
      <c r="G21" s="9"/>
      <c r="H21" s="10">
        <f t="shared" si="0"/>
        <v>0</v>
      </c>
      <c r="I21" s="10">
        <f t="shared" si="1"/>
        <v>0</v>
      </c>
      <c r="J21" s="35">
        <f>IF($I$11&gt;Table4[[#This Row],[Working Hours]],$F$6-Table4[[#This Row],[Working Hours]],0)</f>
        <v>0.33333333333333331</v>
      </c>
      <c r="K21" s="20" t="s">
        <v>240</v>
      </c>
    </row>
    <row r="22" spans="1:11" x14ac:dyDescent="0.25">
      <c r="C22" s="19" t="s">
        <v>68</v>
      </c>
      <c r="D22" s="8">
        <v>45669</v>
      </c>
      <c r="E22" s="7" t="s">
        <v>20</v>
      </c>
      <c r="F22" s="9">
        <v>0.59444444444444444</v>
      </c>
      <c r="G22" s="9">
        <v>0.9159722222222223</v>
      </c>
      <c r="H22" s="10">
        <f t="shared" si="0"/>
        <v>0.26111111111111113</v>
      </c>
      <c r="I22" s="10">
        <f t="shared" si="1"/>
        <v>0.32152777777777786</v>
      </c>
      <c r="J22" s="35">
        <f>IF($I$11&gt;Table4[[#This Row],[Working Hours]],$F$6-Table4[[#This Row],[Working Hours]],0)</f>
        <v>1.1805555555555458E-2</v>
      </c>
      <c r="K22" s="20" t="s">
        <v>239</v>
      </c>
    </row>
    <row r="23" spans="1:11" x14ac:dyDescent="0.25">
      <c r="C23" s="19" t="s">
        <v>68</v>
      </c>
      <c r="D23" s="8">
        <v>45670</v>
      </c>
      <c r="E23" s="7" t="s">
        <v>21</v>
      </c>
      <c r="F23" s="9">
        <v>0.43472222222222223</v>
      </c>
      <c r="G23" s="9">
        <v>0.84722222222222221</v>
      </c>
      <c r="H23" s="10">
        <f t="shared" si="0"/>
        <v>0.10138888888888892</v>
      </c>
      <c r="I23" s="10">
        <f t="shared" si="1"/>
        <v>0.41249999999999998</v>
      </c>
      <c r="J23" s="35">
        <f>IF($I$11&gt;Table4[[#This Row],[Working Hours]],$F$6-Table4[[#This Row],[Working Hours]],0)</f>
        <v>0</v>
      </c>
      <c r="K23" s="20" t="s">
        <v>239</v>
      </c>
    </row>
    <row r="24" spans="1:11" ht="20.25" customHeight="1" x14ac:dyDescent="0.25">
      <c r="C24" s="19" t="s">
        <v>68</v>
      </c>
      <c r="D24" s="8">
        <v>45671</v>
      </c>
      <c r="E24" s="7" t="s">
        <v>22</v>
      </c>
      <c r="F24" s="9">
        <v>0.30069444444444443</v>
      </c>
      <c r="G24" s="9">
        <v>0.83333333333333337</v>
      </c>
      <c r="H24" s="10">
        <f t="shared" si="0"/>
        <v>0</v>
      </c>
      <c r="I24" s="10">
        <f t="shared" si="1"/>
        <v>0.53263888888888888</v>
      </c>
      <c r="J24" s="35">
        <f>IF($I$11&gt;Table4[[#This Row],[Working Hours]],$F$6-Table4[[#This Row],[Working Hours]],0)</f>
        <v>0</v>
      </c>
      <c r="K24" s="20" t="s">
        <v>72</v>
      </c>
    </row>
    <row r="25" spans="1:11" x14ac:dyDescent="0.25">
      <c r="C25" s="19" t="s">
        <v>68</v>
      </c>
      <c r="D25" s="8">
        <v>45672</v>
      </c>
      <c r="E25" s="7" t="s">
        <v>18</v>
      </c>
      <c r="F25" s="9">
        <v>0.46736111111111112</v>
      </c>
      <c r="G25" s="9">
        <v>0.84861111111111109</v>
      </c>
      <c r="H25" s="10">
        <f t="shared" si="0"/>
        <v>0.1340277777777778</v>
      </c>
      <c r="I25" s="10">
        <f t="shared" si="1"/>
        <v>0.38124999999999998</v>
      </c>
      <c r="J25" s="35">
        <v>0</v>
      </c>
      <c r="K25" s="20" t="s">
        <v>239</v>
      </c>
    </row>
    <row r="26" spans="1:11" x14ac:dyDescent="0.25">
      <c r="C26" s="19" t="s">
        <v>68</v>
      </c>
      <c r="D26" s="8">
        <v>45673</v>
      </c>
      <c r="E26" s="7" t="s">
        <v>19</v>
      </c>
      <c r="F26" s="9">
        <v>0.43194444444444446</v>
      </c>
      <c r="G26" s="9">
        <v>0.92499999999999993</v>
      </c>
      <c r="H26" s="10">
        <f t="shared" si="0"/>
        <v>9.8611111111111149E-2</v>
      </c>
      <c r="I26" s="10">
        <f t="shared" si="1"/>
        <v>0.49305555555555547</v>
      </c>
      <c r="J26" s="35">
        <f>IF($I$11&gt;Table4[[#This Row],[Working Hours]],$F$6-Table4[[#This Row],[Working Hours]],0)</f>
        <v>0</v>
      </c>
      <c r="K26" s="20" t="s">
        <v>239</v>
      </c>
    </row>
    <row r="27" spans="1:11" x14ac:dyDescent="0.25">
      <c r="C27" s="19" t="s">
        <v>68</v>
      </c>
      <c r="D27" s="8">
        <v>45674</v>
      </c>
      <c r="E27" s="7" t="s">
        <v>7</v>
      </c>
      <c r="F27" s="9"/>
      <c r="G27" s="9"/>
      <c r="H27" s="10">
        <f t="shared" si="0"/>
        <v>0</v>
      </c>
      <c r="I27" s="10">
        <f t="shared" si="1"/>
        <v>0</v>
      </c>
      <c r="J27" s="35">
        <f>IF($I$11&gt;Table4[[#This Row],[Working Hours]],$F$6-Table4[[#This Row],[Working Hours]],0)</f>
        <v>0.33333333333333331</v>
      </c>
      <c r="K27" s="20" t="s">
        <v>240</v>
      </c>
    </row>
    <row r="28" spans="1:11" x14ac:dyDescent="0.25">
      <c r="C28" s="19" t="s">
        <v>68</v>
      </c>
      <c r="D28" s="8">
        <v>45675</v>
      </c>
      <c r="E28" s="7" t="s">
        <v>8</v>
      </c>
      <c r="F28" s="9"/>
      <c r="G28" s="9"/>
      <c r="H28" s="10">
        <f t="shared" si="0"/>
        <v>0</v>
      </c>
      <c r="I28" s="10">
        <f t="shared" si="1"/>
        <v>0</v>
      </c>
      <c r="J28" s="35">
        <f>IF($I$11&gt;Table4[[#This Row],[Working Hours]],$F$6-Table4[[#This Row],[Working Hours]],0)</f>
        <v>0.33333333333333331</v>
      </c>
      <c r="K28" s="20" t="s">
        <v>240</v>
      </c>
    </row>
    <row r="29" spans="1:11" x14ac:dyDescent="0.25">
      <c r="C29" s="19" t="s">
        <v>68</v>
      </c>
      <c r="D29" s="8">
        <v>45676</v>
      </c>
      <c r="E29" s="7" t="s">
        <v>20</v>
      </c>
      <c r="F29" s="9">
        <v>0.4548611111111111</v>
      </c>
      <c r="G29" s="9">
        <v>0.88750000000000007</v>
      </c>
      <c r="H29" s="10">
        <f t="shared" si="0"/>
        <v>0.12152777777777779</v>
      </c>
      <c r="I29" s="10">
        <f t="shared" si="1"/>
        <v>0.43263888888888896</v>
      </c>
      <c r="J29" s="35">
        <f>IF($I$11&gt;Table4[[#This Row],[Working Hours]],$F$6-Table4[[#This Row],[Working Hours]],0)</f>
        <v>0</v>
      </c>
      <c r="K29" s="20" t="s">
        <v>239</v>
      </c>
    </row>
    <row r="30" spans="1:11" x14ac:dyDescent="0.25">
      <c r="C30" s="19" t="s">
        <v>68</v>
      </c>
      <c r="D30" s="8">
        <v>45677</v>
      </c>
      <c r="E30" s="7" t="s">
        <v>21</v>
      </c>
      <c r="F30" s="9">
        <v>0.37638888888888888</v>
      </c>
      <c r="G30" s="9">
        <v>0.9472222222222223</v>
      </c>
      <c r="H30" s="10">
        <f t="shared" si="0"/>
        <v>4.3055555555555569E-2</v>
      </c>
      <c r="I30" s="10">
        <f t="shared" si="1"/>
        <v>0.57083333333333341</v>
      </c>
      <c r="J30" s="35">
        <f>IF($I$11&gt;Table4[[#This Row],[Working Hours]],$F$6-Table4[[#This Row],[Working Hours]],0)</f>
        <v>0</v>
      </c>
      <c r="K30" s="20" t="s">
        <v>239</v>
      </c>
    </row>
    <row r="31" spans="1:11" x14ac:dyDescent="0.25">
      <c r="C31" s="19" t="s">
        <v>68</v>
      </c>
      <c r="D31" s="8">
        <v>45678</v>
      </c>
      <c r="E31" s="7" t="s">
        <v>22</v>
      </c>
      <c r="F31" s="9">
        <v>0.47361111111111115</v>
      </c>
      <c r="G31" s="9">
        <v>0.92708333333333337</v>
      </c>
      <c r="H31" s="10">
        <f t="shared" si="0"/>
        <v>0.14027777777777783</v>
      </c>
      <c r="I31" s="10">
        <f t="shared" si="1"/>
        <v>0.45347222222222222</v>
      </c>
      <c r="J31" s="35">
        <f>IF($I$11&gt;Table4[[#This Row],[Working Hours]],$F$6-Table4[[#This Row],[Working Hours]],0)</f>
        <v>0</v>
      </c>
      <c r="K31" s="20" t="s">
        <v>239</v>
      </c>
    </row>
    <row r="32" spans="1:11" x14ac:dyDescent="0.25">
      <c r="C32" s="19" t="s">
        <v>68</v>
      </c>
      <c r="D32" s="8">
        <v>45679</v>
      </c>
      <c r="E32" s="7" t="s">
        <v>18</v>
      </c>
      <c r="F32" s="9">
        <v>0.4152777777777778</v>
      </c>
      <c r="G32" s="9">
        <v>0.89166666666666661</v>
      </c>
      <c r="H32" s="10">
        <f t="shared" si="0"/>
        <v>8.1944444444444486E-2</v>
      </c>
      <c r="I32" s="10">
        <f t="shared" si="1"/>
        <v>0.47638888888888881</v>
      </c>
      <c r="J32" s="35">
        <f>IF($I$11&gt;Table4[[#This Row],[Working Hours]],$F$6-Table4[[#This Row],[Working Hours]],0)</f>
        <v>0</v>
      </c>
      <c r="K32" s="20" t="s">
        <v>239</v>
      </c>
    </row>
    <row r="33" spans="3:11" x14ac:dyDescent="0.25">
      <c r="C33" s="19" t="s">
        <v>68</v>
      </c>
      <c r="D33" s="8">
        <v>45680</v>
      </c>
      <c r="E33" s="7" t="s">
        <v>19</v>
      </c>
      <c r="F33" s="9">
        <v>0.37291666666666662</v>
      </c>
      <c r="G33" s="9">
        <v>0.98541666666666661</v>
      </c>
      <c r="H33" s="10">
        <f t="shared" si="0"/>
        <v>3.9583333333333304E-2</v>
      </c>
      <c r="I33" s="10">
        <f t="shared" si="1"/>
        <v>0.61250000000000004</v>
      </c>
      <c r="J33" s="35">
        <f>IF($I$11&gt;Table4[[#This Row],[Working Hours]],$F$6-Table4[[#This Row],[Working Hours]],0)</f>
        <v>0</v>
      </c>
      <c r="K33" s="20" t="s">
        <v>239</v>
      </c>
    </row>
    <row r="34" spans="3:11" x14ac:dyDescent="0.25">
      <c r="C34" s="19" t="s">
        <v>68</v>
      </c>
      <c r="D34" s="8">
        <v>45681</v>
      </c>
      <c r="E34" s="7" t="s">
        <v>7</v>
      </c>
      <c r="F34" s="9"/>
      <c r="G34" s="9"/>
      <c r="H34" s="10">
        <f t="shared" si="0"/>
        <v>0</v>
      </c>
      <c r="I34" s="10">
        <f t="shared" si="1"/>
        <v>0</v>
      </c>
      <c r="J34" s="35">
        <f>IF($I$11&gt;Table4[[#This Row],[Working Hours]],$F$6-Table4[[#This Row],[Working Hours]],0)</f>
        <v>0.33333333333333331</v>
      </c>
      <c r="K34" s="20" t="s">
        <v>240</v>
      </c>
    </row>
    <row r="35" spans="3:11" x14ac:dyDescent="0.25">
      <c r="C35" s="19" t="s">
        <v>68</v>
      </c>
      <c r="D35" s="8">
        <v>45682</v>
      </c>
      <c r="E35" s="7" t="s">
        <v>8</v>
      </c>
      <c r="F35" s="9"/>
      <c r="G35" s="9"/>
      <c r="H35" s="10">
        <f t="shared" si="0"/>
        <v>0</v>
      </c>
      <c r="I35" s="10">
        <f t="shared" si="1"/>
        <v>0</v>
      </c>
      <c r="J35" s="35">
        <f>IF($I$11&gt;Table4[[#This Row],[Working Hours]],$F$6-Table4[[#This Row],[Working Hours]],0)</f>
        <v>0.33333333333333331</v>
      </c>
      <c r="K35" s="20" t="s">
        <v>240</v>
      </c>
    </row>
    <row r="36" spans="3:11" ht="16.5" customHeight="1" x14ac:dyDescent="0.25">
      <c r="C36" s="19" t="s">
        <v>68</v>
      </c>
      <c r="D36" s="8">
        <v>45683</v>
      </c>
      <c r="E36" s="7" t="s">
        <v>20</v>
      </c>
      <c r="F36" s="9"/>
      <c r="G36" s="9"/>
      <c r="H36" s="10">
        <f t="shared" si="0"/>
        <v>0</v>
      </c>
      <c r="I36" s="10">
        <f t="shared" si="1"/>
        <v>0</v>
      </c>
      <c r="J36" s="35">
        <f>IF($I$11&gt;Table4[[#This Row],[Working Hours]],$F$6-Table4[[#This Row],[Working Hours]],0)</f>
        <v>0.33333333333333331</v>
      </c>
      <c r="K36" s="20" t="s">
        <v>241</v>
      </c>
    </row>
    <row r="37" spans="3:11" x14ac:dyDescent="0.25">
      <c r="C37" s="19" t="s">
        <v>68</v>
      </c>
      <c r="D37" s="8">
        <v>45684</v>
      </c>
      <c r="E37" s="7" t="s">
        <v>21</v>
      </c>
      <c r="F37" s="9">
        <v>0.3979166666666667</v>
      </c>
      <c r="G37" s="9">
        <v>0.97777777777777775</v>
      </c>
      <c r="H37" s="10">
        <f t="shared" si="0"/>
        <v>6.4583333333333381E-2</v>
      </c>
      <c r="I37" s="10">
        <f t="shared" si="1"/>
        <v>0.57986111111111105</v>
      </c>
      <c r="J37" s="35">
        <f>IF($I$11&gt;Table4[[#This Row],[Working Hours]],$F$6-Table4[[#This Row],[Working Hours]],0)</f>
        <v>0</v>
      </c>
      <c r="K37" s="20" t="s">
        <v>239</v>
      </c>
    </row>
    <row r="38" spans="3:11" x14ac:dyDescent="0.25">
      <c r="C38" s="19" t="s">
        <v>68</v>
      </c>
      <c r="D38" s="8">
        <v>45685</v>
      </c>
      <c r="E38" s="7" t="s">
        <v>22</v>
      </c>
      <c r="F38" s="9">
        <v>0.35486111111111113</v>
      </c>
      <c r="G38" s="9">
        <v>0.92708333333333337</v>
      </c>
      <c r="H38" s="10">
        <f t="shared" si="0"/>
        <v>2.1527777777777812E-2</v>
      </c>
      <c r="I38" s="10">
        <f t="shared" si="1"/>
        <v>0.57222222222222219</v>
      </c>
      <c r="J38" s="35">
        <f>IF($I$11&gt;Table4[[#This Row],[Working Hours]],$F$6-Table4[[#This Row],[Working Hours]],0)</f>
        <v>0</v>
      </c>
      <c r="K38" s="20" t="s">
        <v>239</v>
      </c>
    </row>
    <row r="39" spans="3:11" x14ac:dyDescent="0.25">
      <c r="C39" s="19" t="s">
        <v>68</v>
      </c>
      <c r="D39" s="8">
        <v>45686</v>
      </c>
      <c r="E39" s="7" t="s">
        <v>18</v>
      </c>
      <c r="F39" s="9">
        <v>0.36041666666666666</v>
      </c>
      <c r="G39" s="9">
        <v>0.9472222222222223</v>
      </c>
      <c r="H39" s="10">
        <f t="shared" si="0"/>
        <v>2.7083333333333348E-2</v>
      </c>
      <c r="I39" s="10">
        <f t="shared" si="1"/>
        <v>0.58680555555555558</v>
      </c>
      <c r="J39" s="35">
        <f>IF($I$11&gt;Table4[[#This Row],[Working Hours]],$F$6-Table4[[#This Row],[Working Hours]],0)</f>
        <v>0</v>
      </c>
      <c r="K39" s="20" t="s">
        <v>239</v>
      </c>
    </row>
    <row r="40" spans="3:11" x14ac:dyDescent="0.25">
      <c r="C40" s="19" t="s">
        <v>68</v>
      </c>
      <c r="D40" s="8">
        <v>45687</v>
      </c>
      <c r="E40" s="7" t="s">
        <v>19</v>
      </c>
      <c r="F40" s="9">
        <v>0.40972222222222227</v>
      </c>
      <c r="G40" s="9">
        <v>0.8520833333333333</v>
      </c>
      <c r="H40" s="10">
        <f t="shared" si="0"/>
        <v>7.6388888888888951E-2</v>
      </c>
      <c r="I40" s="10">
        <f t="shared" si="1"/>
        <v>0.44236111111111104</v>
      </c>
      <c r="J40" s="35">
        <f>IF($I$11&gt;Table4[[#This Row],[Working Hours]],$F$6-Table4[[#This Row],[Working Hours]],0)</f>
        <v>0</v>
      </c>
      <c r="K40" s="20" t="s">
        <v>239</v>
      </c>
    </row>
    <row r="41" spans="3:11" x14ac:dyDescent="0.25">
      <c r="C41" s="19" t="s">
        <v>68</v>
      </c>
      <c r="D41" s="8">
        <v>45688</v>
      </c>
      <c r="E41" s="7" t="s">
        <v>7</v>
      </c>
      <c r="F41" s="9"/>
      <c r="G41" s="9"/>
      <c r="H41" s="10">
        <f t="shared" si="0"/>
        <v>0</v>
      </c>
      <c r="I41" s="10">
        <f t="shared" si="1"/>
        <v>0</v>
      </c>
      <c r="J41" s="35">
        <f>IF($I$11&gt;Table4[[#This Row],[Working Hours]],$F$6-Table4[[#This Row],[Working Hours]],0)</f>
        <v>0.33333333333333331</v>
      </c>
      <c r="K41" s="20" t="s">
        <v>240</v>
      </c>
    </row>
    <row r="42" spans="3:11" x14ac:dyDescent="0.25">
      <c r="C42" s="19" t="s">
        <v>68</v>
      </c>
      <c r="D42" s="8">
        <v>45689</v>
      </c>
      <c r="E42" s="7" t="s">
        <v>8</v>
      </c>
      <c r="F42" s="9"/>
      <c r="G42" s="9"/>
      <c r="H42" s="10">
        <f t="shared" si="0"/>
        <v>0</v>
      </c>
      <c r="I42" s="10">
        <f t="shared" si="1"/>
        <v>0</v>
      </c>
      <c r="J42" s="35">
        <f>IF($I$11&gt;Table4[[#This Row],[Working Hours]],$F$6-Table4[[#This Row],[Working Hours]],0)</f>
        <v>0.33333333333333331</v>
      </c>
      <c r="K42" s="20" t="s">
        <v>240</v>
      </c>
    </row>
    <row r="43" spans="3:11" x14ac:dyDescent="0.25">
      <c r="C43" s="19" t="s">
        <v>68</v>
      </c>
      <c r="D43" s="8">
        <v>45690</v>
      </c>
      <c r="E43" s="7" t="s">
        <v>20</v>
      </c>
      <c r="F43" s="9">
        <v>0.36388888888888887</v>
      </c>
      <c r="G43" s="9">
        <v>0.97222222222222221</v>
      </c>
      <c r="H43" s="10">
        <f t="shared" si="0"/>
        <v>3.0555555555555558E-2</v>
      </c>
      <c r="I43" s="10">
        <f t="shared" si="1"/>
        <v>0.60833333333333339</v>
      </c>
      <c r="J43" s="35">
        <f>IF($I$11&gt;Table4[[#This Row],[Working Hours]],$F$6-Table4[[#This Row],[Working Hours]],0)</f>
        <v>0</v>
      </c>
      <c r="K43" s="20" t="s">
        <v>239</v>
      </c>
    </row>
    <row r="44" spans="3:11" x14ac:dyDescent="0.25">
      <c r="C44" s="19" t="s">
        <v>68</v>
      </c>
      <c r="D44" s="8">
        <v>45691</v>
      </c>
      <c r="E44" s="7" t="s">
        <v>21</v>
      </c>
      <c r="F44" s="9">
        <v>0.38750000000000001</v>
      </c>
      <c r="G44" s="9">
        <v>0.9</v>
      </c>
      <c r="H44" s="10">
        <f t="shared" si="0"/>
        <v>5.4166666666666696E-2</v>
      </c>
      <c r="I44" s="10">
        <f t="shared" si="1"/>
        <v>0.51249999999999996</v>
      </c>
      <c r="J44" s="35">
        <f>IF($I$11&gt;Table4[[#This Row],[Working Hours]],$F$6-Table4[[#This Row],[Working Hours]],0)</f>
        <v>0</v>
      </c>
      <c r="K44" s="20" t="s">
        <v>239</v>
      </c>
    </row>
    <row r="45" spans="3:11" x14ac:dyDescent="0.25">
      <c r="C45" s="19" t="s">
        <v>68</v>
      </c>
      <c r="D45" s="8">
        <v>45692</v>
      </c>
      <c r="E45" s="7" t="s">
        <v>22</v>
      </c>
      <c r="F45" s="9">
        <v>0.38194444444444442</v>
      </c>
      <c r="G45" s="9">
        <v>0.94374999999999998</v>
      </c>
      <c r="H45" s="10">
        <f t="shared" si="0"/>
        <v>4.8611111111111105E-2</v>
      </c>
      <c r="I45" s="10">
        <f t="shared" si="1"/>
        <v>0.56180555555555556</v>
      </c>
      <c r="J45" s="35">
        <f>IF($I$11&gt;Table4[[#This Row],[Working Hours]],$F$6-Table4[[#This Row],[Working Hours]],0)</f>
        <v>0</v>
      </c>
      <c r="K45" s="20" t="s">
        <v>239</v>
      </c>
    </row>
    <row r="46" spans="3:11" x14ac:dyDescent="0.25">
      <c r="C46" s="19" t="s">
        <v>68</v>
      </c>
      <c r="D46" s="8">
        <v>45693</v>
      </c>
      <c r="E46" s="7" t="s">
        <v>18</v>
      </c>
      <c r="F46" s="9">
        <v>0.46180555555555558</v>
      </c>
      <c r="G46" s="9">
        <v>0.98472222222222217</v>
      </c>
      <c r="H46" s="10">
        <f t="shared" si="0"/>
        <v>0.12847222222222227</v>
      </c>
      <c r="I46" s="10">
        <f t="shared" si="1"/>
        <v>0.52291666666666659</v>
      </c>
      <c r="J46" s="35">
        <f>IF($I$11&gt;Table4[[#This Row],[Working Hours]],$F$6-Table4[[#This Row],[Working Hours]],0)</f>
        <v>0</v>
      </c>
      <c r="K46" s="20" t="s">
        <v>239</v>
      </c>
    </row>
    <row r="47" spans="3:11" x14ac:dyDescent="0.25">
      <c r="C47" s="19" t="s">
        <v>68</v>
      </c>
      <c r="D47" s="8">
        <v>45694</v>
      </c>
      <c r="E47" s="7" t="s">
        <v>19</v>
      </c>
      <c r="F47" s="9">
        <v>0.31875000000000003</v>
      </c>
      <c r="G47" s="9">
        <v>0.94374999999999998</v>
      </c>
      <c r="H47" s="10">
        <f t="shared" si="0"/>
        <v>0</v>
      </c>
      <c r="I47" s="10">
        <f t="shared" si="1"/>
        <v>0.625</v>
      </c>
      <c r="J47" s="35">
        <f>IF($I$11&gt;Table4[[#This Row],[Working Hours]],$F$6-Table4[[#This Row],[Working Hours]],0)</f>
        <v>0</v>
      </c>
      <c r="K47" s="20" t="s">
        <v>239</v>
      </c>
    </row>
    <row r="48" spans="3:11" x14ac:dyDescent="0.25">
      <c r="C48" s="19" t="s">
        <v>68</v>
      </c>
      <c r="D48" s="8">
        <v>45695</v>
      </c>
      <c r="E48" s="7" t="s">
        <v>7</v>
      </c>
      <c r="F48" s="9"/>
      <c r="G48" s="9"/>
      <c r="H48" s="10">
        <f t="shared" si="0"/>
        <v>0</v>
      </c>
      <c r="I48" s="10">
        <f t="shared" si="1"/>
        <v>0</v>
      </c>
      <c r="J48" s="35">
        <f>IF($I$11&gt;Table4[[#This Row],[Working Hours]],$F$6-Table4[[#This Row],[Working Hours]],0)</f>
        <v>0.33333333333333331</v>
      </c>
      <c r="K48" s="20" t="s">
        <v>240</v>
      </c>
    </row>
    <row r="49" spans="3:11" x14ac:dyDescent="0.25">
      <c r="C49" s="19" t="s">
        <v>68</v>
      </c>
      <c r="D49" s="8">
        <v>45696</v>
      </c>
      <c r="E49" s="7" t="s">
        <v>8</v>
      </c>
      <c r="F49" s="9"/>
      <c r="G49" s="9"/>
      <c r="H49" s="10">
        <f t="shared" si="0"/>
        <v>0</v>
      </c>
      <c r="I49" s="10">
        <f t="shared" si="1"/>
        <v>0</v>
      </c>
      <c r="J49" s="35">
        <f>IF($I$11&gt;Table4[[#This Row],[Working Hours]],$F$6-Table4[[#This Row],[Working Hours]],0)</f>
        <v>0.33333333333333331</v>
      </c>
      <c r="K49" s="20" t="s">
        <v>240</v>
      </c>
    </row>
    <row r="50" spans="3:11" x14ac:dyDescent="0.25">
      <c r="C50" s="19" t="s">
        <v>68</v>
      </c>
      <c r="D50" s="8">
        <v>45697</v>
      </c>
      <c r="E50" s="7" t="s">
        <v>20</v>
      </c>
      <c r="F50" s="9">
        <v>0.44444444444444442</v>
      </c>
      <c r="G50" s="9">
        <v>0.96875</v>
      </c>
      <c r="H50" s="10">
        <f t="shared" si="0"/>
        <v>0.1111111111111111</v>
      </c>
      <c r="I50" s="10">
        <f t="shared" si="1"/>
        <v>0.52430555555555558</v>
      </c>
      <c r="J50" s="35">
        <f>IF($I$11&gt;Table4[[#This Row],[Working Hours]],$F$6-Table4[[#This Row],[Working Hours]],0)</f>
        <v>0</v>
      </c>
      <c r="K50" s="20" t="s">
        <v>239</v>
      </c>
    </row>
    <row r="51" spans="3:11" x14ac:dyDescent="0.25">
      <c r="C51" s="19" t="s">
        <v>68</v>
      </c>
      <c r="D51" s="8">
        <v>45698</v>
      </c>
      <c r="E51" s="7" t="s">
        <v>21</v>
      </c>
      <c r="F51" s="9">
        <v>0.34375</v>
      </c>
      <c r="G51" s="9">
        <v>0.85625000000000007</v>
      </c>
      <c r="H51" s="10">
        <f t="shared" si="0"/>
        <v>1.0416666666666685E-2</v>
      </c>
      <c r="I51" s="10">
        <f t="shared" si="1"/>
        <v>0.51250000000000007</v>
      </c>
      <c r="J51" s="35">
        <f>IF($I$11&gt;Table4[[#This Row],[Working Hours]],$F$6-Table4[[#This Row],[Working Hours]],0)</f>
        <v>0</v>
      </c>
      <c r="K51" s="20" t="s">
        <v>239</v>
      </c>
    </row>
    <row r="52" spans="3:11" x14ac:dyDescent="0.25">
      <c r="C52" s="19" t="s">
        <v>68</v>
      </c>
      <c r="D52" s="8">
        <v>45699</v>
      </c>
      <c r="E52" s="7" t="s">
        <v>22</v>
      </c>
      <c r="F52" s="9">
        <v>0.3444444444444445</v>
      </c>
      <c r="G52" s="9">
        <v>0.94930555555555562</v>
      </c>
      <c r="H52" s="10">
        <f t="shared" si="0"/>
        <v>1.1111111111111183E-2</v>
      </c>
      <c r="I52" s="10">
        <f t="shared" si="1"/>
        <v>0.60486111111111107</v>
      </c>
      <c r="J52" s="35">
        <f>IF($I$11&gt;Table4[[#This Row],[Working Hours]],$F$6-Table4[[#This Row],[Working Hours]],0)</f>
        <v>0</v>
      </c>
      <c r="K52" s="20" t="s">
        <v>239</v>
      </c>
    </row>
    <row r="53" spans="3:11" x14ac:dyDescent="0.25">
      <c r="C53" s="19" t="s">
        <v>68</v>
      </c>
      <c r="D53" s="8">
        <v>45700</v>
      </c>
      <c r="E53" s="7" t="s">
        <v>18</v>
      </c>
      <c r="F53" s="9">
        <v>0.3659722222222222</v>
      </c>
      <c r="G53" s="9">
        <v>0.97083333333333333</v>
      </c>
      <c r="H53" s="10">
        <f t="shared" si="0"/>
        <v>3.2638888888888884E-2</v>
      </c>
      <c r="I53" s="10">
        <f t="shared" si="1"/>
        <v>0.60486111111111107</v>
      </c>
      <c r="J53" s="35">
        <f>IF($I$11&gt;Table4[[#This Row],[Working Hours]],$F$6-Table4[[#This Row],[Working Hours]],0)</f>
        <v>0</v>
      </c>
      <c r="K53" s="20" t="s">
        <v>239</v>
      </c>
    </row>
    <row r="54" spans="3:11" x14ac:dyDescent="0.25">
      <c r="C54" s="19" t="s">
        <v>68</v>
      </c>
      <c r="D54" s="8">
        <v>45701</v>
      </c>
      <c r="E54" s="7" t="s">
        <v>19</v>
      </c>
      <c r="F54" s="9">
        <v>0.3611111111111111</v>
      </c>
      <c r="G54" s="9">
        <v>0.93055555555555547</v>
      </c>
      <c r="H54" s="10">
        <f t="shared" si="0"/>
        <v>2.777777777777779E-2</v>
      </c>
      <c r="I54" s="10">
        <f t="shared" si="1"/>
        <v>0.56944444444444442</v>
      </c>
      <c r="J54" s="35">
        <f>IF($I$11&gt;Table4[[#This Row],[Working Hours]],$F$6-Table4[[#This Row],[Working Hours]],0)</f>
        <v>0</v>
      </c>
      <c r="K54" s="20" t="s">
        <v>239</v>
      </c>
    </row>
    <row r="55" spans="3:11" x14ac:dyDescent="0.25">
      <c r="C55" s="19" t="s">
        <v>68</v>
      </c>
      <c r="D55" s="8">
        <v>45702</v>
      </c>
      <c r="E55" s="7" t="s">
        <v>7</v>
      </c>
      <c r="F55" s="9"/>
      <c r="G55" s="9"/>
      <c r="H55" s="10">
        <f t="shared" si="0"/>
        <v>0</v>
      </c>
      <c r="I55" s="10">
        <f t="shared" si="1"/>
        <v>0</v>
      </c>
      <c r="J55" s="35">
        <f>IF($I$11&gt;Table4[[#This Row],[Working Hours]],$F$6-Table4[[#This Row],[Working Hours]],0)</f>
        <v>0.33333333333333331</v>
      </c>
      <c r="K55" s="20" t="s">
        <v>240</v>
      </c>
    </row>
    <row r="56" spans="3:11" x14ac:dyDescent="0.25">
      <c r="C56" s="19" t="s">
        <v>68</v>
      </c>
      <c r="D56" s="8">
        <v>45703</v>
      </c>
      <c r="E56" s="7" t="s">
        <v>8</v>
      </c>
      <c r="F56" s="9"/>
      <c r="G56" s="9"/>
      <c r="H56" s="10">
        <f t="shared" si="0"/>
        <v>0</v>
      </c>
      <c r="I56" s="10">
        <f t="shared" si="1"/>
        <v>0</v>
      </c>
      <c r="J56" s="35">
        <f>IF($I$11&gt;Table4[[#This Row],[Working Hours]],$F$6-Table4[[#This Row],[Working Hours]],0)</f>
        <v>0.33333333333333331</v>
      </c>
      <c r="K56" s="20" t="s">
        <v>240</v>
      </c>
    </row>
    <row r="57" spans="3:11" x14ac:dyDescent="0.25">
      <c r="C57" s="19" t="s">
        <v>68</v>
      </c>
      <c r="D57" s="8">
        <v>45704</v>
      </c>
      <c r="E57" s="7" t="s">
        <v>20</v>
      </c>
      <c r="F57" s="9">
        <v>0.34027777777777773</v>
      </c>
      <c r="G57" s="9">
        <v>0.90138888888888891</v>
      </c>
      <c r="H57" s="10">
        <f t="shared" si="0"/>
        <v>6.9444444444444198E-3</v>
      </c>
      <c r="I57" s="10">
        <f t="shared" si="1"/>
        <v>0.56111111111111112</v>
      </c>
      <c r="J57" s="35">
        <f>IF($I$11&gt;Table4[[#This Row],[Working Hours]],$F$6-Table4[[#This Row],[Working Hours]],0)</f>
        <v>0</v>
      </c>
      <c r="K57" s="20" t="s">
        <v>239</v>
      </c>
    </row>
    <row r="58" spans="3:11" x14ac:dyDescent="0.25">
      <c r="C58" s="19" t="s">
        <v>68</v>
      </c>
      <c r="D58" s="8">
        <v>45705</v>
      </c>
      <c r="E58" s="7" t="s">
        <v>21</v>
      </c>
      <c r="F58" s="9">
        <v>0.40069444444444446</v>
      </c>
      <c r="G58" s="9">
        <v>0.85069444444444453</v>
      </c>
      <c r="H58" s="10">
        <f t="shared" si="0"/>
        <v>6.7361111111111149E-2</v>
      </c>
      <c r="I58" s="10">
        <f t="shared" si="1"/>
        <v>0.45000000000000007</v>
      </c>
      <c r="J58" s="35">
        <f>IF($I$11&gt;Table4[[#This Row],[Working Hours]],$F$6-Table4[[#This Row],[Working Hours]],0)</f>
        <v>0</v>
      </c>
      <c r="K58" s="20" t="s">
        <v>239</v>
      </c>
    </row>
    <row r="59" spans="3:11" x14ac:dyDescent="0.25">
      <c r="C59" s="19" t="s">
        <v>68</v>
      </c>
      <c r="D59" s="8">
        <v>45706</v>
      </c>
      <c r="E59" s="7" t="s">
        <v>22</v>
      </c>
      <c r="F59" s="9">
        <v>0.45208333333333334</v>
      </c>
      <c r="G59" s="9">
        <v>0.9784722222222223</v>
      </c>
      <c r="H59" s="10">
        <f t="shared" si="0"/>
        <v>0.11875000000000002</v>
      </c>
      <c r="I59" s="10">
        <f t="shared" si="1"/>
        <v>0.52638888888888902</v>
      </c>
      <c r="J59" s="35">
        <f>IF($I$11&gt;Table4[[#This Row],[Working Hours]],$F$6-Table4[[#This Row],[Working Hours]],0)</f>
        <v>0</v>
      </c>
      <c r="K59" s="20" t="s">
        <v>239</v>
      </c>
    </row>
    <row r="60" spans="3:11" x14ac:dyDescent="0.25">
      <c r="C60" s="19" t="s">
        <v>68</v>
      </c>
      <c r="D60" s="8">
        <v>45707</v>
      </c>
      <c r="E60" s="7" t="s">
        <v>18</v>
      </c>
      <c r="F60" s="9">
        <v>0.45624999999999999</v>
      </c>
      <c r="G60" s="9">
        <v>0.84791666666666676</v>
      </c>
      <c r="H60" s="10">
        <f t="shared" si="0"/>
        <v>0.12291666666666667</v>
      </c>
      <c r="I60" s="10">
        <f t="shared" si="1"/>
        <v>0.39166666666666677</v>
      </c>
      <c r="J60" s="35">
        <f>IF($I$11&gt;Table4[[#This Row],[Working Hours]],$F$6-Table4[[#This Row],[Working Hours]],0)</f>
        <v>0</v>
      </c>
      <c r="K60" s="20" t="s">
        <v>239</v>
      </c>
    </row>
    <row r="61" spans="3:11" x14ac:dyDescent="0.25">
      <c r="C61" s="19" t="s">
        <v>68</v>
      </c>
      <c r="D61" s="8">
        <v>45708</v>
      </c>
      <c r="E61" s="7" t="s">
        <v>19</v>
      </c>
      <c r="F61" s="9">
        <v>0.3576388888888889</v>
      </c>
      <c r="G61" s="9">
        <v>0.90694444444444444</v>
      </c>
      <c r="H61" s="10">
        <f t="shared" si="0"/>
        <v>2.430555555555558E-2</v>
      </c>
      <c r="I61" s="10">
        <f t="shared" si="1"/>
        <v>0.54930555555555549</v>
      </c>
      <c r="J61" s="35">
        <f>IF($I$11&gt;Table4[[#This Row],[Working Hours]],$F$6-Table4[[#This Row],[Working Hours]],0)</f>
        <v>0</v>
      </c>
      <c r="K61" s="20" t="s">
        <v>239</v>
      </c>
    </row>
    <row r="62" spans="3:11" x14ac:dyDescent="0.25">
      <c r="C62" s="19" t="s">
        <v>68</v>
      </c>
      <c r="D62" s="8">
        <v>45709</v>
      </c>
      <c r="E62" s="7" t="s">
        <v>7</v>
      </c>
      <c r="F62" s="9"/>
      <c r="G62" s="9"/>
      <c r="H62" s="10">
        <f t="shared" si="0"/>
        <v>0</v>
      </c>
      <c r="I62" s="10">
        <f t="shared" si="1"/>
        <v>0</v>
      </c>
      <c r="J62" s="35">
        <f>IF($I$11&gt;Table4[[#This Row],[Working Hours]],$F$6-Table4[[#This Row],[Working Hours]],0)</f>
        <v>0.33333333333333331</v>
      </c>
      <c r="K62" s="20" t="s">
        <v>240</v>
      </c>
    </row>
    <row r="63" spans="3:11" x14ac:dyDescent="0.25">
      <c r="C63" s="19" t="s">
        <v>68</v>
      </c>
      <c r="D63" s="8">
        <v>45710</v>
      </c>
      <c r="E63" s="7" t="s">
        <v>8</v>
      </c>
      <c r="F63" s="9"/>
      <c r="G63" s="9"/>
      <c r="H63" s="10">
        <f t="shared" si="0"/>
        <v>0</v>
      </c>
      <c r="I63" s="10">
        <f t="shared" si="1"/>
        <v>0</v>
      </c>
      <c r="J63" s="35">
        <f>IF($I$11&gt;Table4[[#This Row],[Working Hours]],$F$6-Table4[[#This Row],[Working Hours]],0)</f>
        <v>0.33333333333333331</v>
      </c>
      <c r="K63" s="20" t="s">
        <v>240</v>
      </c>
    </row>
    <row r="64" spans="3:11" x14ac:dyDescent="0.25">
      <c r="C64" s="19" t="s">
        <v>68</v>
      </c>
      <c r="D64" s="8">
        <v>45711</v>
      </c>
      <c r="E64" s="7" t="s">
        <v>20</v>
      </c>
      <c r="F64" s="9">
        <v>0.41944444444444445</v>
      </c>
      <c r="G64" s="9">
        <v>0.91180555555555554</v>
      </c>
      <c r="H64" s="10">
        <f t="shared" si="0"/>
        <v>8.6111111111111138E-2</v>
      </c>
      <c r="I64" s="10">
        <f t="shared" si="1"/>
        <v>0.49236111111111108</v>
      </c>
      <c r="J64" s="35">
        <f>IF($I$11&gt;Table4[[#This Row],[Working Hours]],$F$6-Table4[[#This Row],[Working Hours]],0)</f>
        <v>0</v>
      </c>
      <c r="K64" s="20" t="s">
        <v>239</v>
      </c>
    </row>
    <row r="65" spans="3:11" x14ac:dyDescent="0.25">
      <c r="C65" s="19" t="s">
        <v>68</v>
      </c>
      <c r="D65" s="8">
        <v>45712</v>
      </c>
      <c r="E65" s="7" t="s">
        <v>21</v>
      </c>
      <c r="F65" s="9">
        <v>0.41944444444444445</v>
      </c>
      <c r="G65" s="9">
        <v>0.99930555555555556</v>
      </c>
      <c r="H65" s="10">
        <f t="shared" si="0"/>
        <v>8.6111111111111138E-2</v>
      </c>
      <c r="I65" s="10">
        <f t="shared" si="1"/>
        <v>0.57986111111111116</v>
      </c>
      <c r="J65" s="35">
        <f>IF($I$11&gt;Table4[[#This Row],[Working Hours]],$F$6-Table4[[#This Row],[Working Hours]],0)</f>
        <v>0</v>
      </c>
      <c r="K65" s="20" t="s">
        <v>239</v>
      </c>
    </row>
    <row r="66" spans="3:11" x14ac:dyDescent="0.25">
      <c r="C66" s="19" t="s">
        <v>68</v>
      </c>
      <c r="D66" s="8">
        <v>45713</v>
      </c>
      <c r="E66" s="7" t="s">
        <v>22</v>
      </c>
      <c r="F66" s="9">
        <v>0.4375</v>
      </c>
      <c r="G66" s="9">
        <v>0.91388888888888886</v>
      </c>
      <c r="H66" s="10">
        <f t="shared" si="0"/>
        <v>0.10416666666666669</v>
      </c>
      <c r="I66" s="10">
        <f t="shared" si="1"/>
        <v>0.47638888888888886</v>
      </c>
      <c r="J66" s="35">
        <f>IF($I$11&gt;Table4[[#This Row],[Working Hours]],$F$6-Table4[[#This Row],[Working Hours]],0)</f>
        <v>0</v>
      </c>
      <c r="K66" s="20" t="s">
        <v>239</v>
      </c>
    </row>
    <row r="67" spans="3:11" x14ac:dyDescent="0.25">
      <c r="C67" s="19" t="s">
        <v>68</v>
      </c>
      <c r="D67" s="8">
        <v>45714</v>
      </c>
      <c r="E67" s="7" t="s">
        <v>18</v>
      </c>
      <c r="F67" s="9">
        <v>0.44930555555555557</v>
      </c>
      <c r="G67" s="9">
        <v>0.87152777777777779</v>
      </c>
      <c r="H67" s="10">
        <f t="shared" si="0"/>
        <v>0.11597222222222225</v>
      </c>
      <c r="I67" s="10">
        <f t="shared" si="1"/>
        <v>0.42222222222222222</v>
      </c>
      <c r="J67" s="35">
        <f>IF($I$11&gt;Table4[[#This Row],[Working Hours]],$F$6-Table4[[#This Row],[Working Hours]],0)</f>
        <v>0</v>
      </c>
      <c r="K67" s="20" t="s">
        <v>239</v>
      </c>
    </row>
    <row r="68" spans="3:11" x14ac:dyDescent="0.25">
      <c r="C68" s="19" t="s">
        <v>68</v>
      </c>
      <c r="D68" s="8">
        <v>45715</v>
      </c>
      <c r="E68" s="7" t="s">
        <v>19</v>
      </c>
      <c r="F68" s="9">
        <v>0.3576388888888889</v>
      </c>
      <c r="G68" s="9">
        <v>0.95624999999999993</v>
      </c>
      <c r="H68" s="10">
        <f t="shared" si="0"/>
        <v>2.430555555555558E-2</v>
      </c>
      <c r="I68" s="10">
        <f t="shared" si="1"/>
        <v>0.59861111111111098</v>
      </c>
      <c r="J68" s="35">
        <f>IF($I$11&gt;Table4[[#This Row],[Working Hours]],$F$6-Table4[[#This Row],[Working Hours]],0)</f>
        <v>0</v>
      </c>
      <c r="K68" s="20" t="s">
        <v>239</v>
      </c>
    </row>
    <row r="69" spans="3:11" x14ac:dyDescent="0.25">
      <c r="C69" s="19" t="s">
        <v>68</v>
      </c>
      <c r="D69" s="8">
        <v>45716</v>
      </c>
      <c r="E69" s="7" t="s">
        <v>7</v>
      </c>
      <c r="F69" s="9"/>
      <c r="G69" s="9"/>
      <c r="H69" s="10">
        <f t="shared" si="0"/>
        <v>0</v>
      </c>
      <c r="I69" s="10">
        <f t="shared" si="1"/>
        <v>0</v>
      </c>
      <c r="J69" s="35">
        <f>IF($I$11&gt;Table4[[#This Row],[Working Hours]],$F$6-Table4[[#This Row],[Working Hours]],0)</f>
        <v>0.33333333333333331</v>
      </c>
      <c r="K69" s="20" t="s">
        <v>240</v>
      </c>
    </row>
    <row r="70" spans="3:11" x14ac:dyDescent="0.25">
      <c r="C70" s="19" t="s">
        <v>68</v>
      </c>
      <c r="D70" s="8">
        <v>45717</v>
      </c>
      <c r="E70" s="7" t="s">
        <v>8</v>
      </c>
      <c r="F70" s="9"/>
      <c r="G70" s="9"/>
      <c r="H70" s="10">
        <f t="shared" si="0"/>
        <v>0</v>
      </c>
      <c r="I70" s="10">
        <f t="shared" si="1"/>
        <v>0</v>
      </c>
      <c r="J70" s="35">
        <f>IF($I$11&gt;Table4[[#This Row],[Working Hours]],$F$6-Table4[[#This Row],[Working Hours]],0)</f>
        <v>0.33333333333333331</v>
      </c>
      <c r="K70" s="20" t="s">
        <v>240</v>
      </c>
    </row>
    <row r="71" spans="3:11" x14ac:dyDescent="0.25">
      <c r="C71" s="19" t="s">
        <v>68</v>
      </c>
      <c r="D71" s="8">
        <v>45718</v>
      </c>
      <c r="E71" s="7" t="s">
        <v>20</v>
      </c>
      <c r="F71" s="9">
        <v>0.45763888888888887</v>
      </c>
      <c r="G71" s="9">
        <v>0.94236111111111109</v>
      </c>
      <c r="H71" s="10">
        <f t="shared" si="0"/>
        <v>0.12430555555555556</v>
      </c>
      <c r="I71" s="10">
        <f t="shared" si="1"/>
        <v>0.48472222222222222</v>
      </c>
      <c r="J71" s="35">
        <f>IF($I$11&gt;Table4[[#This Row],[Working Hours]],$F$6-Table4[[#This Row],[Working Hours]],0)</f>
        <v>0</v>
      </c>
      <c r="K71" s="20" t="s">
        <v>239</v>
      </c>
    </row>
    <row r="72" spans="3:11" x14ac:dyDescent="0.25">
      <c r="C72" s="19" t="s">
        <v>68</v>
      </c>
      <c r="D72" s="8">
        <v>45719</v>
      </c>
      <c r="E72" s="7" t="s">
        <v>21</v>
      </c>
      <c r="F72" s="9">
        <v>0.33611111111111108</v>
      </c>
      <c r="G72" s="9">
        <v>0.94305555555555554</v>
      </c>
      <c r="H72" s="10">
        <f t="shared" si="0"/>
        <v>2.7777777777777679E-3</v>
      </c>
      <c r="I72" s="10">
        <f t="shared" si="1"/>
        <v>0.60694444444444451</v>
      </c>
      <c r="J72" s="35">
        <f>IF($I$11&gt;Table4[[#This Row],[Working Hours]],$F$6-Table4[[#This Row],[Working Hours]],0)</f>
        <v>0</v>
      </c>
      <c r="K72" s="20" t="s">
        <v>239</v>
      </c>
    </row>
    <row r="73" spans="3:11" x14ac:dyDescent="0.25">
      <c r="C73" s="19" t="s">
        <v>68</v>
      </c>
      <c r="D73" s="8">
        <v>45720</v>
      </c>
      <c r="E73" s="7" t="s">
        <v>22</v>
      </c>
      <c r="F73" s="9">
        <v>0.35000000000000003</v>
      </c>
      <c r="G73" s="9">
        <v>0.99791666666666667</v>
      </c>
      <c r="H73" s="10">
        <f t="shared" si="0"/>
        <v>1.6666666666666718E-2</v>
      </c>
      <c r="I73" s="10">
        <f t="shared" si="1"/>
        <v>0.6479166666666667</v>
      </c>
      <c r="J73" s="35">
        <f>IF($I$11&gt;Table4[[#This Row],[Working Hours]],$F$6-Table4[[#This Row],[Working Hours]],0)</f>
        <v>0</v>
      </c>
      <c r="K73" s="20" t="s">
        <v>239</v>
      </c>
    </row>
    <row r="74" spans="3:11" x14ac:dyDescent="0.25">
      <c r="C74" s="19" t="s">
        <v>68</v>
      </c>
      <c r="D74" s="8">
        <v>45721</v>
      </c>
      <c r="E74" s="7" t="s">
        <v>18</v>
      </c>
      <c r="F74" s="9">
        <v>0.2986111111111111</v>
      </c>
      <c r="G74" s="9">
        <v>0.99930555555555556</v>
      </c>
      <c r="H74" s="10">
        <f t="shared" si="0"/>
        <v>0</v>
      </c>
      <c r="I74" s="10">
        <f t="shared" si="1"/>
        <v>0.70069444444444451</v>
      </c>
      <c r="J74" s="35">
        <f>IF($I$11&gt;Table4[[#This Row],[Working Hours]],$F$6-Table4[[#This Row],[Working Hours]],0)</f>
        <v>0</v>
      </c>
      <c r="K74" s="20" t="s">
        <v>239</v>
      </c>
    </row>
    <row r="75" spans="3:11" x14ac:dyDescent="0.25">
      <c r="C75" s="19" t="s">
        <v>68</v>
      </c>
      <c r="D75" s="8">
        <v>45722</v>
      </c>
      <c r="E75" s="7" t="s">
        <v>19</v>
      </c>
      <c r="F75" s="9">
        <v>0.44097222222222227</v>
      </c>
      <c r="G75" s="9">
        <v>0.99861111111111101</v>
      </c>
      <c r="H75" s="10">
        <f t="shared" si="0"/>
        <v>0.10763888888888895</v>
      </c>
      <c r="I75" s="10">
        <f t="shared" si="1"/>
        <v>0.5576388888888888</v>
      </c>
      <c r="J75" s="35">
        <f>IF($I$11&gt;Table4[[#This Row],[Working Hours]],$F$6-Table4[[#This Row],[Working Hours]],0)</f>
        <v>0</v>
      </c>
      <c r="K75" s="20" t="s">
        <v>239</v>
      </c>
    </row>
    <row r="76" spans="3:11" x14ac:dyDescent="0.25">
      <c r="C76" s="19" t="s">
        <v>68</v>
      </c>
      <c r="D76" s="8">
        <v>45723</v>
      </c>
      <c r="E76" s="7" t="s">
        <v>7</v>
      </c>
      <c r="F76" s="9"/>
      <c r="G76" s="9"/>
      <c r="H76" s="10">
        <f t="shared" ref="H76:H139" si="2">IF($F76&gt;$F$6,$F76-$F$6,0)</f>
        <v>0</v>
      </c>
      <c r="I76" s="10">
        <f t="shared" ref="I76:I139" si="3">$G76-$F76</f>
        <v>0</v>
      </c>
      <c r="J76" s="35">
        <f>IF($I$11&gt;Table4[[#This Row],[Working Hours]],$F$6-Table4[[#This Row],[Working Hours]],0)</f>
        <v>0.33333333333333331</v>
      </c>
      <c r="K76" s="20" t="s">
        <v>240</v>
      </c>
    </row>
    <row r="77" spans="3:11" x14ac:dyDescent="0.25">
      <c r="C77" s="19" t="s">
        <v>68</v>
      </c>
      <c r="D77" s="8">
        <v>45724</v>
      </c>
      <c r="E77" s="7" t="s">
        <v>8</v>
      </c>
      <c r="F77" s="9"/>
      <c r="G77" s="9"/>
      <c r="H77" s="10">
        <f t="shared" si="2"/>
        <v>0</v>
      </c>
      <c r="I77" s="10">
        <f t="shared" si="3"/>
        <v>0</v>
      </c>
      <c r="J77" s="35">
        <f>IF($I$11&gt;Table4[[#This Row],[Working Hours]],$F$6-Table4[[#This Row],[Working Hours]],0)</f>
        <v>0.33333333333333331</v>
      </c>
      <c r="K77" s="20" t="s">
        <v>240</v>
      </c>
    </row>
    <row r="78" spans="3:11" x14ac:dyDescent="0.25">
      <c r="C78" s="19" t="s">
        <v>68</v>
      </c>
      <c r="D78" s="8">
        <v>45725</v>
      </c>
      <c r="E78" s="7" t="s">
        <v>20</v>
      </c>
      <c r="F78" s="9">
        <v>0.34027777777777773</v>
      </c>
      <c r="G78" s="9">
        <v>0.95208333333333339</v>
      </c>
      <c r="H78" s="10">
        <f t="shared" si="2"/>
        <v>6.9444444444444198E-3</v>
      </c>
      <c r="I78" s="10">
        <f t="shared" si="3"/>
        <v>0.61180555555555571</v>
      </c>
      <c r="J78" s="35">
        <f>IF($I$11&gt;Table4[[#This Row],[Working Hours]],$F$6-Table4[[#This Row],[Working Hours]],0)</f>
        <v>0</v>
      </c>
      <c r="K78" s="20" t="s">
        <v>239</v>
      </c>
    </row>
    <row r="79" spans="3:11" x14ac:dyDescent="0.25">
      <c r="C79" s="19" t="s">
        <v>68</v>
      </c>
      <c r="D79" s="8">
        <v>45726</v>
      </c>
      <c r="E79" s="7" t="s">
        <v>21</v>
      </c>
      <c r="F79" s="9">
        <v>0.42222222222222222</v>
      </c>
      <c r="G79" s="9">
        <v>0.91527777777777775</v>
      </c>
      <c r="H79" s="10">
        <f t="shared" si="2"/>
        <v>8.8888888888888906E-2</v>
      </c>
      <c r="I79" s="10">
        <f t="shared" si="3"/>
        <v>0.49305555555555552</v>
      </c>
      <c r="J79" s="35">
        <f>IF($I$11&gt;Table4[[#This Row],[Working Hours]],$F$6-Table4[[#This Row],[Working Hours]],0)</f>
        <v>0</v>
      </c>
      <c r="K79" s="20" t="s">
        <v>239</v>
      </c>
    </row>
    <row r="80" spans="3:11" x14ac:dyDescent="0.25">
      <c r="C80" s="19" t="s">
        <v>68</v>
      </c>
      <c r="D80" s="8">
        <v>45727</v>
      </c>
      <c r="E80" s="7" t="s">
        <v>22</v>
      </c>
      <c r="F80" s="9">
        <v>0.4152777777777778</v>
      </c>
      <c r="G80" s="9">
        <v>0.98402777777777783</v>
      </c>
      <c r="H80" s="10">
        <f t="shared" si="2"/>
        <v>8.1944444444444486E-2</v>
      </c>
      <c r="I80" s="10">
        <f t="shared" si="3"/>
        <v>0.56875000000000009</v>
      </c>
      <c r="J80" s="35">
        <f>IF($I$11&gt;Table4[[#This Row],[Working Hours]],$F$6-Table4[[#This Row],[Working Hours]],0)</f>
        <v>0</v>
      </c>
      <c r="K80" s="20" t="s">
        <v>239</v>
      </c>
    </row>
    <row r="81" spans="3:11" x14ac:dyDescent="0.25">
      <c r="C81" s="19" t="s">
        <v>68</v>
      </c>
      <c r="D81" s="8">
        <v>45728</v>
      </c>
      <c r="E81" s="7" t="s">
        <v>18</v>
      </c>
      <c r="F81" s="9">
        <v>0.36388888888888887</v>
      </c>
      <c r="G81" s="9">
        <v>0.89583333333333337</v>
      </c>
      <c r="H81" s="10">
        <f t="shared" si="2"/>
        <v>3.0555555555555558E-2</v>
      </c>
      <c r="I81" s="10">
        <f t="shared" si="3"/>
        <v>0.53194444444444455</v>
      </c>
      <c r="J81" s="35">
        <f>IF($I$11&gt;Table4[[#This Row],[Working Hours]],$F$6-Table4[[#This Row],[Working Hours]],0)</f>
        <v>0</v>
      </c>
      <c r="K81" s="20" t="s">
        <v>239</v>
      </c>
    </row>
    <row r="82" spans="3:11" x14ac:dyDescent="0.25">
      <c r="C82" s="19" t="s">
        <v>68</v>
      </c>
      <c r="D82" s="8">
        <v>45729</v>
      </c>
      <c r="E82" s="7" t="s">
        <v>19</v>
      </c>
      <c r="F82" s="9">
        <v>0.4236111111111111</v>
      </c>
      <c r="G82" s="9">
        <v>0.98611111111111116</v>
      </c>
      <c r="H82" s="10">
        <f t="shared" si="2"/>
        <v>9.027777777777779E-2</v>
      </c>
      <c r="I82" s="10">
        <f t="shared" si="3"/>
        <v>0.5625</v>
      </c>
      <c r="J82" s="35">
        <f>IF($I$11&gt;Table4[[#This Row],[Working Hours]],$F$6-Table4[[#This Row],[Working Hours]],0)</f>
        <v>0</v>
      </c>
      <c r="K82" s="20" t="s">
        <v>239</v>
      </c>
    </row>
    <row r="83" spans="3:11" x14ac:dyDescent="0.25">
      <c r="C83" s="19" t="s">
        <v>68</v>
      </c>
      <c r="D83" s="8">
        <v>45730</v>
      </c>
      <c r="E83" s="7" t="s">
        <v>7</v>
      </c>
      <c r="F83" s="9"/>
      <c r="G83" s="9"/>
      <c r="H83" s="10">
        <f t="shared" si="2"/>
        <v>0</v>
      </c>
      <c r="I83" s="10">
        <f t="shared" si="3"/>
        <v>0</v>
      </c>
      <c r="J83" s="35">
        <f>IF($I$11&gt;Table4[[#This Row],[Working Hours]],$F$6-Table4[[#This Row],[Working Hours]],0)</f>
        <v>0.33333333333333331</v>
      </c>
      <c r="K83" s="20" t="s">
        <v>70</v>
      </c>
    </row>
    <row r="84" spans="3:11" x14ac:dyDescent="0.25">
      <c r="C84" s="19" t="s">
        <v>68</v>
      </c>
      <c r="D84" s="8">
        <v>45731</v>
      </c>
      <c r="E84" s="7" t="s">
        <v>8</v>
      </c>
      <c r="F84" s="9"/>
      <c r="G84" s="9"/>
      <c r="H84" s="10">
        <f t="shared" si="2"/>
        <v>0</v>
      </c>
      <c r="I84" s="10">
        <f t="shared" si="3"/>
        <v>0</v>
      </c>
      <c r="J84" s="35">
        <f>IF($I$11&gt;Table4[[#This Row],[Working Hours]],$F$6-Table4[[#This Row],[Working Hours]],0)</f>
        <v>0.33333333333333331</v>
      </c>
      <c r="K84" s="20" t="s">
        <v>240</v>
      </c>
    </row>
    <row r="85" spans="3:11" x14ac:dyDescent="0.25">
      <c r="C85" s="19" t="s">
        <v>68</v>
      </c>
      <c r="D85" s="8">
        <v>45732</v>
      </c>
      <c r="E85" s="7" t="s">
        <v>20</v>
      </c>
      <c r="F85" s="9">
        <v>0.37847222222222227</v>
      </c>
      <c r="G85" s="9">
        <v>0.85069444444444453</v>
      </c>
      <c r="H85" s="10">
        <f t="shared" si="2"/>
        <v>4.5138888888888951E-2</v>
      </c>
      <c r="I85" s="10">
        <f t="shared" si="3"/>
        <v>0.47222222222222227</v>
      </c>
      <c r="J85" s="35">
        <f>IF($I$11&gt;Table4[[#This Row],[Working Hours]],$F$6-Table4[[#This Row],[Working Hours]],0)</f>
        <v>0</v>
      </c>
      <c r="K85" s="20" t="s">
        <v>239</v>
      </c>
    </row>
    <row r="86" spans="3:11" x14ac:dyDescent="0.25">
      <c r="C86" s="19" t="s">
        <v>68</v>
      </c>
      <c r="D86" s="8">
        <v>45733</v>
      </c>
      <c r="E86" s="7" t="s">
        <v>21</v>
      </c>
      <c r="F86" s="9">
        <v>0.43055555555555558</v>
      </c>
      <c r="G86" s="9">
        <v>0.94166666666666676</v>
      </c>
      <c r="H86" s="10">
        <f t="shared" si="2"/>
        <v>9.7222222222222265E-2</v>
      </c>
      <c r="I86" s="10">
        <f t="shared" si="3"/>
        <v>0.51111111111111118</v>
      </c>
      <c r="J86" s="35">
        <f>IF($I$11&gt;Table4[[#This Row],[Working Hours]],$F$6-Table4[[#This Row],[Working Hours]],0)</f>
        <v>0</v>
      </c>
      <c r="K86" s="20" t="s">
        <v>239</v>
      </c>
    </row>
    <row r="87" spans="3:11" x14ac:dyDescent="0.25">
      <c r="C87" s="19" t="s">
        <v>68</v>
      </c>
      <c r="D87" s="8">
        <v>45734</v>
      </c>
      <c r="E87" s="7" t="s">
        <v>22</v>
      </c>
      <c r="F87" s="9">
        <v>0.34861111111111115</v>
      </c>
      <c r="G87" s="9">
        <v>0.84583333333333333</v>
      </c>
      <c r="H87" s="10">
        <f t="shared" si="2"/>
        <v>1.5277777777777835E-2</v>
      </c>
      <c r="I87" s="10">
        <f t="shared" si="3"/>
        <v>0.49722222222222218</v>
      </c>
      <c r="J87" s="35">
        <f>IF($I$11&gt;Table4[[#This Row],[Working Hours]],$F$6-Table4[[#This Row],[Working Hours]],0)</f>
        <v>0</v>
      </c>
      <c r="K87" s="20" t="s">
        <v>239</v>
      </c>
    </row>
    <row r="88" spans="3:11" x14ac:dyDescent="0.25">
      <c r="C88" s="19" t="s">
        <v>68</v>
      </c>
      <c r="D88" s="8">
        <v>45735</v>
      </c>
      <c r="E88" s="7" t="s">
        <v>18</v>
      </c>
      <c r="F88" s="9">
        <v>0.35138888888888892</v>
      </c>
      <c r="G88" s="9">
        <v>0.85277777777777775</v>
      </c>
      <c r="H88" s="10">
        <f t="shared" si="2"/>
        <v>1.8055555555555602E-2</v>
      </c>
      <c r="I88" s="10">
        <f t="shared" si="3"/>
        <v>0.50138888888888888</v>
      </c>
      <c r="J88" s="35">
        <f>IF($I$11&gt;Table4[[#This Row],[Working Hours]],$F$6-Table4[[#This Row],[Working Hours]],0)</f>
        <v>0</v>
      </c>
      <c r="K88" s="20" t="s">
        <v>239</v>
      </c>
    </row>
    <row r="89" spans="3:11" x14ac:dyDescent="0.25">
      <c r="C89" s="19" t="s">
        <v>68</v>
      </c>
      <c r="D89" s="8">
        <v>45736</v>
      </c>
      <c r="E89" s="7" t="s">
        <v>19</v>
      </c>
      <c r="F89" s="9">
        <v>0.32083333333333336</v>
      </c>
      <c r="G89" s="9">
        <v>0.95486111111111116</v>
      </c>
      <c r="H89" s="10">
        <f t="shared" si="2"/>
        <v>0</v>
      </c>
      <c r="I89" s="10">
        <f t="shared" si="3"/>
        <v>0.63402777777777786</v>
      </c>
      <c r="J89" s="35">
        <f>IF($I$11&gt;Table4[[#This Row],[Working Hours]],$F$6-Table4[[#This Row],[Working Hours]],0)</f>
        <v>0</v>
      </c>
      <c r="K89" s="20" t="s">
        <v>239</v>
      </c>
    </row>
    <row r="90" spans="3:11" x14ac:dyDescent="0.25">
      <c r="C90" s="19" t="s">
        <v>68</v>
      </c>
      <c r="D90" s="8">
        <v>45737</v>
      </c>
      <c r="E90" s="7" t="s">
        <v>7</v>
      </c>
      <c r="F90" s="9"/>
      <c r="G90" s="9"/>
      <c r="H90" s="10">
        <f t="shared" si="2"/>
        <v>0</v>
      </c>
      <c r="I90" s="10">
        <f t="shared" si="3"/>
        <v>0</v>
      </c>
      <c r="J90" s="35">
        <f>IF($I$11&gt;Table4[[#This Row],[Working Hours]],$F$6-Table4[[#This Row],[Working Hours]],0)</f>
        <v>0.33333333333333331</v>
      </c>
      <c r="K90" s="20" t="s">
        <v>240</v>
      </c>
    </row>
    <row r="91" spans="3:11" x14ac:dyDescent="0.25">
      <c r="C91" s="19" t="s">
        <v>68</v>
      </c>
      <c r="D91" s="8">
        <v>45738</v>
      </c>
      <c r="E91" s="7" t="s">
        <v>8</v>
      </c>
      <c r="F91" s="9"/>
      <c r="G91" s="9"/>
      <c r="H91" s="10">
        <f t="shared" si="2"/>
        <v>0</v>
      </c>
      <c r="I91" s="10">
        <f t="shared" si="3"/>
        <v>0</v>
      </c>
      <c r="J91" s="35">
        <f>IF($I$11&gt;Table4[[#This Row],[Working Hours]],$F$6-Table4[[#This Row],[Working Hours]],0)</f>
        <v>0.33333333333333331</v>
      </c>
      <c r="K91" s="20" t="s">
        <v>240</v>
      </c>
    </row>
    <row r="92" spans="3:11" x14ac:dyDescent="0.25">
      <c r="C92" s="19" t="s">
        <v>68</v>
      </c>
      <c r="D92" s="8">
        <v>45739</v>
      </c>
      <c r="E92" s="7" t="s">
        <v>20</v>
      </c>
      <c r="F92" s="9">
        <v>0.41111111111111115</v>
      </c>
      <c r="G92" s="9">
        <v>0.93333333333333324</v>
      </c>
      <c r="H92" s="10">
        <f t="shared" si="2"/>
        <v>7.7777777777777835E-2</v>
      </c>
      <c r="I92" s="10">
        <f t="shared" si="3"/>
        <v>0.52222222222222214</v>
      </c>
      <c r="J92" s="35">
        <f>IF($I$11&gt;Table4[[#This Row],[Working Hours]],$F$6-Table4[[#This Row],[Working Hours]],0)</f>
        <v>0</v>
      </c>
      <c r="K92" s="20" t="s">
        <v>239</v>
      </c>
    </row>
    <row r="93" spans="3:11" x14ac:dyDescent="0.25">
      <c r="C93" s="19" t="s">
        <v>68</v>
      </c>
      <c r="D93" s="8">
        <v>45740</v>
      </c>
      <c r="E93" s="7" t="s">
        <v>21</v>
      </c>
      <c r="F93" s="9">
        <v>0.37083333333333335</v>
      </c>
      <c r="G93" s="9">
        <v>0.93055555555555547</v>
      </c>
      <c r="H93" s="10">
        <f t="shared" si="2"/>
        <v>3.7500000000000033E-2</v>
      </c>
      <c r="I93" s="10">
        <f t="shared" si="3"/>
        <v>0.55972222222222212</v>
      </c>
      <c r="J93" s="35">
        <f>IF($I$11&gt;Table4[[#This Row],[Working Hours]],$F$6-Table4[[#This Row],[Working Hours]],0)</f>
        <v>0</v>
      </c>
      <c r="K93" s="20" t="s">
        <v>239</v>
      </c>
    </row>
    <row r="94" spans="3:11" x14ac:dyDescent="0.25">
      <c r="C94" s="19" t="s">
        <v>68</v>
      </c>
      <c r="D94" s="8">
        <v>45741</v>
      </c>
      <c r="E94" s="7" t="s">
        <v>22</v>
      </c>
      <c r="F94" s="9">
        <v>0.43333333333333335</v>
      </c>
      <c r="G94" s="9">
        <v>0.95694444444444438</v>
      </c>
      <c r="H94" s="10">
        <f t="shared" si="2"/>
        <v>0.10000000000000003</v>
      </c>
      <c r="I94" s="10">
        <f t="shared" si="3"/>
        <v>0.52361111111111103</v>
      </c>
      <c r="J94" s="35">
        <f>IF($I$11&gt;Table4[[#This Row],[Working Hours]],$F$6-Table4[[#This Row],[Working Hours]],0)</f>
        <v>0</v>
      </c>
      <c r="K94" s="20" t="s">
        <v>239</v>
      </c>
    </row>
    <row r="95" spans="3:11" x14ac:dyDescent="0.25">
      <c r="C95" s="19" t="s">
        <v>68</v>
      </c>
      <c r="D95" s="8">
        <v>45742</v>
      </c>
      <c r="E95" s="7" t="s">
        <v>18</v>
      </c>
      <c r="F95" s="9">
        <v>0.33402777777777781</v>
      </c>
      <c r="G95" s="9">
        <v>0.99652777777777779</v>
      </c>
      <c r="H95" s="10">
        <f t="shared" si="2"/>
        <v>6.9444444444449749E-4</v>
      </c>
      <c r="I95" s="10">
        <f t="shared" si="3"/>
        <v>0.66249999999999998</v>
      </c>
      <c r="J95" s="35">
        <f>IF($I$11&gt;Table4[[#This Row],[Working Hours]],$F$6-Table4[[#This Row],[Working Hours]],0)</f>
        <v>0</v>
      </c>
      <c r="K95" s="20" t="s">
        <v>239</v>
      </c>
    </row>
    <row r="96" spans="3:11" x14ac:dyDescent="0.25">
      <c r="C96" s="19" t="s">
        <v>68</v>
      </c>
      <c r="D96" s="8">
        <v>45743</v>
      </c>
      <c r="E96" s="7" t="s">
        <v>19</v>
      </c>
      <c r="F96" s="9">
        <v>0.33124999999999999</v>
      </c>
      <c r="G96" s="9">
        <v>0.99375000000000002</v>
      </c>
      <c r="H96" s="10">
        <f t="shared" si="2"/>
        <v>0</v>
      </c>
      <c r="I96" s="10">
        <f t="shared" si="3"/>
        <v>0.66250000000000009</v>
      </c>
      <c r="J96" s="35">
        <f>IF($I$11&gt;Table4[[#This Row],[Working Hours]],$F$6-Table4[[#This Row],[Working Hours]],0)</f>
        <v>0</v>
      </c>
      <c r="K96" s="20" t="s">
        <v>239</v>
      </c>
    </row>
    <row r="97" spans="3:11" x14ac:dyDescent="0.25">
      <c r="C97" s="19" t="s">
        <v>68</v>
      </c>
      <c r="D97" s="8">
        <v>45744</v>
      </c>
      <c r="E97" s="7" t="s">
        <v>7</v>
      </c>
      <c r="F97" s="9"/>
      <c r="G97" s="9"/>
      <c r="H97" s="10">
        <f t="shared" si="2"/>
        <v>0</v>
      </c>
      <c r="I97" s="10">
        <f t="shared" si="3"/>
        <v>0</v>
      </c>
      <c r="J97" s="35">
        <f>IF($I$11&gt;Table4[[#This Row],[Working Hours]],$F$6-Table4[[#This Row],[Working Hours]],0)</f>
        <v>0.33333333333333331</v>
      </c>
      <c r="K97" s="20" t="s">
        <v>240</v>
      </c>
    </row>
    <row r="98" spans="3:11" x14ac:dyDescent="0.25">
      <c r="C98" s="19" t="s">
        <v>68</v>
      </c>
      <c r="D98" s="8">
        <v>45745</v>
      </c>
      <c r="E98" s="7" t="s">
        <v>8</v>
      </c>
      <c r="F98" s="9"/>
      <c r="G98" s="9"/>
      <c r="H98" s="10">
        <f t="shared" si="2"/>
        <v>0</v>
      </c>
      <c r="I98" s="10">
        <f t="shared" si="3"/>
        <v>0</v>
      </c>
      <c r="J98" s="35">
        <f>IF($I$11&gt;Table4[[#This Row],[Working Hours]],$F$6-Table4[[#This Row],[Working Hours]],0)</f>
        <v>0.33333333333333331</v>
      </c>
      <c r="K98" s="20" t="s">
        <v>240</v>
      </c>
    </row>
    <row r="99" spans="3:11" x14ac:dyDescent="0.25">
      <c r="C99" s="19" t="s">
        <v>68</v>
      </c>
      <c r="D99" s="8">
        <v>45746</v>
      </c>
      <c r="E99" s="7" t="s">
        <v>20</v>
      </c>
      <c r="F99" s="9">
        <v>0.32708333333333334</v>
      </c>
      <c r="G99" s="9">
        <v>0.99097222222222225</v>
      </c>
      <c r="H99" s="10">
        <f t="shared" si="2"/>
        <v>0</v>
      </c>
      <c r="I99" s="10">
        <f t="shared" si="3"/>
        <v>0.66388888888888897</v>
      </c>
      <c r="J99" s="35">
        <f>IF($I$11&gt;Table4[[#This Row],[Working Hours]],$F$6-Table4[[#This Row],[Working Hours]],0)</f>
        <v>0</v>
      </c>
      <c r="K99" s="20" t="s">
        <v>239</v>
      </c>
    </row>
    <row r="100" spans="3:11" x14ac:dyDescent="0.25">
      <c r="C100" s="19" t="s">
        <v>68</v>
      </c>
      <c r="D100" s="8">
        <v>45747</v>
      </c>
      <c r="E100" s="7" t="s">
        <v>21</v>
      </c>
      <c r="F100" s="9">
        <v>0.31944444444444448</v>
      </c>
      <c r="G100" s="9">
        <v>0.91111111111111109</v>
      </c>
      <c r="H100" s="10">
        <f t="shared" si="2"/>
        <v>0</v>
      </c>
      <c r="I100" s="10">
        <f t="shared" si="3"/>
        <v>0.59166666666666656</v>
      </c>
      <c r="J100" s="35">
        <f>IF($I$11&gt;Table4[[#This Row],[Working Hours]],$F$6-Table4[[#This Row],[Working Hours]],0)</f>
        <v>0</v>
      </c>
      <c r="K100" s="20" t="s">
        <v>239</v>
      </c>
    </row>
    <row r="101" spans="3:11" x14ac:dyDescent="0.25">
      <c r="C101" s="19" t="s">
        <v>68</v>
      </c>
      <c r="D101" s="8">
        <v>45748</v>
      </c>
      <c r="E101" s="7" t="s">
        <v>22</v>
      </c>
      <c r="F101" s="9">
        <v>0.3979166666666667</v>
      </c>
      <c r="G101" s="9">
        <v>0.87222222222222223</v>
      </c>
      <c r="H101" s="10">
        <f t="shared" si="2"/>
        <v>6.4583333333333381E-2</v>
      </c>
      <c r="I101" s="10">
        <f t="shared" si="3"/>
        <v>0.47430555555555554</v>
      </c>
      <c r="J101" s="35">
        <f>IF($I$11&gt;Table4[[#This Row],[Working Hours]],$F$6-Table4[[#This Row],[Working Hours]],0)</f>
        <v>0</v>
      </c>
      <c r="K101" s="20" t="s">
        <v>239</v>
      </c>
    </row>
    <row r="102" spans="3:11" x14ac:dyDescent="0.25">
      <c r="C102" s="19" t="s">
        <v>68</v>
      </c>
      <c r="D102" s="8">
        <v>45749</v>
      </c>
      <c r="E102" s="7" t="s">
        <v>18</v>
      </c>
      <c r="F102" s="9">
        <v>0.3</v>
      </c>
      <c r="G102" s="9">
        <v>0.86319444444444438</v>
      </c>
      <c r="H102" s="10">
        <f t="shared" si="2"/>
        <v>0</v>
      </c>
      <c r="I102" s="10">
        <f t="shared" si="3"/>
        <v>0.56319444444444433</v>
      </c>
      <c r="J102" s="35">
        <f>IF($I$11&gt;Table4[[#This Row],[Working Hours]],$F$6-Table4[[#This Row],[Working Hours]],0)</f>
        <v>0</v>
      </c>
      <c r="K102" s="20" t="s">
        <v>239</v>
      </c>
    </row>
    <row r="103" spans="3:11" x14ac:dyDescent="0.25">
      <c r="C103" s="19" t="s">
        <v>68</v>
      </c>
      <c r="D103" s="8">
        <v>45750</v>
      </c>
      <c r="E103" s="7" t="s">
        <v>19</v>
      </c>
      <c r="F103" s="9">
        <v>0.44444444444444442</v>
      </c>
      <c r="G103" s="9">
        <v>0.94930555555555562</v>
      </c>
      <c r="H103" s="10">
        <f t="shared" si="2"/>
        <v>0.1111111111111111</v>
      </c>
      <c r="I103" s="10">
        <f t="shared" si="3"/>
        <v>0.5048611111111112</v>
      </c>
      <c r="J103" s="35">
        <f>IF($I$11&gt;Table4[[#This Row],[Working Hours]],$F$6-Table4[[#This Row],[Working Hours]],0)</f>
        <v>0</v>
      </c>
      <c r="K103" s="20" t="s">
        <v>239</v>
      </c>
    </row>
    <row r="104" spans="3:11" x14ac:dyDescent="0.25">
      <c r="C104" s="19" t="s">
        <v>68</v>
      </c>
      <c r="D104" s="8">
        <v>45751</v>
      </c>
      <c r="E104" s="7" t="s">
        <v>7</v>
      </c>
      <c r="F104" s="9"/>
      <c r="G104" s="9"/>
      <c r="H104" s="10">
        <f t="shared" si="2"/>
        <v>0</v>
      </c>
      <c r="I104" s="10">
        <f t="shared" si="3"/>
        <v>0</v>
      </c>
      <c r="J104" s="35">
        <f>IF($I$11&gt;Table4[[#This Row],[Working Hours]],$F$6-Table4[[#This Row],[Working Hours]],0)</f>
        <v>0.33333333333333331</v>
      </c>
      <c r="K104" s="20" t="s">
        <v>240</v>
      </c>
    </row>
    <row r="105" spans="3:11" x14ac:dyDescent="0.25">
      <c r="C105" s="19" t="s">
        <v>68</v>
      </c>
      <c r="D105" s="8">
        <v>45752</v>
      </c>
      <c r="E105" s="7" t="s">
        <v>8</v>
      </c>
      <c r="F105" s="9"/>
      <c r="G105" s="9"/>
      <c r="H105" s="10">
        <f t="shared" si="2"/>
        <v>0</v>
      </c>
      <c r="I105" s="10">
        <f t="shared" si="3"/>
        <v>0</v>
      </c>
      <c r="J105" s="35">
        <f>IF($I$11&gt;Table4[[#This Row],[Working Hours]],$F$6-Table4[[#This Row],[Working Hours]],0)</f>
        <v>0.33333333333333331</v>
      </c>
      <c r="K105" s="20" t="s">
        <v>240</v>
      </c>
    </row>
    <row r="106" spans="3:11" x14ac:dyDescent="0.25">
      <c r="C106" s="19" t="s">
        <v>68</v>
      </c>
      <c r="D106" s="8">
        <v>45753</v>
      </c>
      <c r="E106" s="7" t="s">
        <v>20</v>
      </c>
      <c r="F106" s="9">
        <v>0.35694444444444445</v>
      </c>
      <c r="G106" s="9">
        <v>0.90902777777777777</v>
      </c>
      <c r="H106" s="10">
        <f t="shared" si="2"/>
        <v>2.3611111111111138E-2</v>
      </c>
      <c r="I106" s="10">
        <f t="shared" si="3"/>
        <v>0.55208333333333326</v>
      </c>
      <c r="J106" s="35">
        <f>IF($I$11&gt;Table4[[#This Row],[Working Hours]],$F$6-Table4[[#This Row],[Working Hours]],0)</f>
        <v>0</v>
      </c>
      <c r="K106" s="20" t="s">
        <v>239</v>
      </c>
    </row>
    <row r="107" spans="3:11" x14ac:dyDescent="0.25">
      <c r="C107" s="19" t="s">
        <v>68</v>
      </c>
      <c r="D107" s="8">
        <v>45754</v>
      </c>
      <c r="E107" s="7" t="s">
        <v>21</v>
      </c>
      <c r="F107" s="9">
        <v>0.38263888888888892</v>
      </c>
      <c r="G107" s="9">
        <v>0.84444444444444444</v>
      </c>
      <c r="H107" s="10">
        <f t="shared" si="2"/>
        <v>4.9305555555555602E-2</v>
      </c>
      <c r="I107" s="10">
        <f t="shared" si="3"/>
        <v>0.46180555555555552</v>
      </c>
      <c r="J107" s="35">
        <f>IF($I$11&gt;Table4[[#This Row],[Working Hours]],$F$6-Table4[[#This Row],[Working Hours]],0)</f>
        <v>0</v>
      </c>
      <c r="K107" s="20" t="s">
        <v>239</v>
      </c>
    </row>
    <row r="108" spans="3:11" x14ac:dyDescent="0.25">
      <c r="C108" s="19" t="s">
        <v>68</v>
      </c>
      <c r="D108" s="8">
        <v>45755</v>
      </c>
      <c r="E108" s="7" t="s">
        <v>22</v>
      </c>
      <c r="F108" s="9">
        <v>0.30416666666666664</v>
      </c>
      <c r="G108" s="9">
        <v>0.93472222222222223</v>
      </c>
      <c r="H108" s="10">
        <f t="shared" si="2"/>
        <v>0</v>
      </c>
      <c r="I108" s="10">
        <f t="shared" si="3"/>
        <v>0.63055555555555554</v>
      </c>
      <c r="J108" s="35">
        <f>IF($I$11&gt;Table4[[#This Row],[Working Hours]],$F$6-Table4[[#This Row],[Working Hours]],0)</f>
        <v>0</v>
      </c>
      <c r="K108" s="20" t="s">
        <v>239</v>
      </c>
    </row>
    <row r="109" spans="3:11" x14ac:dyDescent="0.25">
      <c r="C109" s="19" t="s">
        <v>68</v>
      </c>
      <c r="D109" s="8">
        <v>45756</v>
      </c>
      <c r="E109" s="7" t="s">
        <v>18</v>
      </c>
      <c r="F109" s="9">
        <v>0.44791666666666669</v>
      </c>
      <c r="G109" s="9">
        <v>0.97499999999999998</v>
      </c>
      <c r="H109" s="10">
        <f t="shared" si="2"/>
        <v>0.11458333333333337</v>
      </c>
      <c r="I109" s="10">
        <f t="shared" si="3"/>
        <v>0.52708333333333335</v>
      </c>
      <c r="J109" s="35">
        <f>IF($I$11&gt;Table4[[#This Row],[Working Hours]],$F$6-Table4[[#This Row],[Working Hours]],0)</f>
        <v>0</v>
      </c>
      <c r="K109" s="20" t="s">
        <v>239</v>
      </c>
    </row>
    <row r="110" spans="3:11" x14ac:dyDescent="0.25">
      <c r="C110" s="19" t="s">
        <v>68</v>
      </c>
      <c r="D110" s="8">
        <v>45757</v>
      </c>
      <c r="E110" s="7" t="s">
        <v>19</v>
      </c>
      <c r="F110" s="9">
        <v>0.4604166666666667</v>
      </c>
      <c r="G110" s="9">
        <v>0.90486111111111101</v>
      </c>
      <c r="H110" s="10">
        <f t="shared" si="2"/>
        <v>0.12708333333333338</v>
      </c>
      <c r="I110" s="10">
        <f t="shared" si="3"/>
        <v>0.44444444444444431</v>
      </c>
      <c r="J110" s="35">
        <f>IF($I$11&gt;Table4[[#This Row],[Working Hours]],$F$6-Table4[[#This Row],[Working Hours]],0)</f>
        <v>0</v>
      </c>
      <c r="K110" s="20" t="s">
        <v>239</v>
      </c>
    </row>
    <row r="111" spans="3:11" x14ac:dyDescent="0.25">
      <c r="C111" s="19" t="s">
        <v>68</v>
      </c>
      <c r="D111" s="8">
        <v>45758</v>
      </c>
      <c r="E111" s="7" t="s">
        <v>7</v>
      </c>
      <c r="F111" s="9"/>
      <c r="G111" s="9"/>
      <c r="H111" s="10">
        <f t="shared" si="2"/>
        <v>0</v>
      </c>
      <c r="I111" s="10">
        <f t="shared" si="3"/>
        <v>0</v>
      </c>
      <c r="J111" s="35">
        <f>IF($I$11&gt;Table4[[#This Row],[Working Hours]],$F$6-Table4[[#This Row],[Working Hours]],0)</f>
        <v>0.33333333333333331</v>
      </c>
      <c r="K111" s="20" t="s">
        <v>240</v>
      </c>
    </row>
    <row r="112" spans="3:11" x14ac:dyDescent="0.25">
      <c r="C112" s="19" t="s">
        <v>68</v>
      </c>
      <c r="D112" s="8">
        <v>45759</v>
      </c>
      <c r="E112" s="7" t="s">
        <v>8</v>
      </c>
      <c r="F112" s="9"/>
      <c r="G112" s="9"/>
      <c r="H112" s="10">
        <f t="shared" si="2"/>
        <v>0</v>
      </c>
      <c r="I112" s="10">
        <f t="shared" si="3"/>
        <v>0</v>
      </c>
      <c r="J112" s="35">
        <f>IF($I$11&gt;Table4[[#This Row],[Working Hours]],$F$6-Table4[[#This Row],[Working Hours]],0)</f>
        <v>0.33333333333333331</v>
      </c>
      <c r="K112" s="20" t="s">
        <v>240</v>
      </c>
    </row>
    <row r="113" spans="3:11" x14ac:dyDescent="0.25">
      <c r="C113" s="19" t="s">
        <v>68</v>
      </c>
      <c r="D113" s="8">
        <v>45760</v>
      </c>
      <c r="E113" s="7" t="s">
        <v>20</v>
      </c>
      <c r="F113" s="9">
        <v>0.4909722222222222</v>
      </c>
      <c r="G113" s="9">
        <v>0.93611111111111101</v>
      </c>
      <c r="H113" s="10">
        <f t="shared" si="2"/>
        <v>0.15763888888888888</v>
      </c>
      <c r="I113" s="10">
        <f t="shared" si="3"/>
        <v>0.44513888888888881</v>
      </c>
      <c r="J113" s="35">
        <f>IF($I$11&gt;Table4[[#This Row],[Working Hours]],$F$6-Table4[[#This Row],[Working Hours]],0)</f>
        <v>0</v>
      </c>
      <c r="K113" s="20" t="s">
        <v>239</v>
      </c>
    </row>
    <row r="114" spans="3:11" x14ac:dyDescent="0.25">
      <c r="C114" s="19" t="s">
        <v>68</v>
      </c>
      <c r="D114" s="8">
        <v>45761</v>
      </c>
      <c r="E114" s="7" t="s">
        <v>21</v>
      </c>
      <c r="F114" s="9">
        <v>0.29166666666666669</v>
      </c>
      <c r="G114" s="9">
        <v>0.99513888888888891</v>
      </c>
      <c r="H114" s="10">
        <f t="shared" si="2"/>
        <v>0</v>
      </c>
      <c r="I114" s="10">
        <f t="shared" si="3"/>
        <v>0.70347222222222228</v>
      </c>
      <c r="J114" s="35">
        <f>IF($I$11&gt;Table4[[#This Row],[Working Hours]],$F$6-Table4[[#This Row],[Working Hours]],0)</f>
        <v>0</v>
      </c>
      <c r="K114" s="20" t="s">
        <v>239</v>
      </c>
    </row>
    <row r="115" spans="3:11" x14ac:dyDescent="0.25">
      <c r="C115" s="19" t="s">
        <v>68</v>
      </c>
      <c r="D115" s="8">
        <v>45762</v>
      </c>
      <c r="E115" s="7" t="s">
        <v>22</v>
      </c>
      <c r="F115" s="9">
        <v>0.34791666666666665</v>
      </c>
      <c r="G115" s="9">
        <v>0.96944444444444444</v>
      </c>
      <c r="H115" s="10">
        <f t="shared" si="2"/>
        <v>1.4583333333333337E-2</v>
      </c>
      <c r="I115" s="10">
        <f t="shared" si="3"/>
        <v>0.62152777777777779</v>
      </c>
      <c r="J115" s="35">
        <f>IF($I$11&gt;Table4[[#This Row],[Working Hours]],$F$6-Table4[[#This Row],[Working Hours]],0)</f>
        <v>0</v>
      </c>
      <c r="K115" s="20" t="s">
        <v>239</v>
      </c>
    </row>
    <row r="116" spans="3:11" x14ac:dyDescent="0.25">
      <c r="C116" s="19" t="s">
        <v>68</v>
      </c>
      <c r="D116" s="8">
        <v>45763</v>
      </c>
      <c r="E116" s="7" t="s">
        <v>18</v>
      </c>
      <c r="F116" s="9">
        <v>0.4993055555555555</v>
      </c>
      <c r="G116" s="9">
        <v>0.97986111111111107</v>
      </c>
      <c r="H116" s="10">
        <f t="shared" si="2"/>
        <v>0.16597222222222219</v>
      </c>
      <c r="I116" s="10">
        <f t="shared" si="3"/>
        <v>0.48055555555555557</v>
      </c>
      <c r="J116" s="35">
        <f>IF($I$11&gt;Table4[[#This Row],[Working Hours]],$F$6-Table4[[#This Row],[Working Hours]],0)</f>
        <v>0</v>
      </c>
      <c r="K116" s="20" t="s">
        <v>239</v>
      </c>
    </row>
    <row r="117" spans="3:11" x14ac:dyDescent="0.25">
      <c r="C117" s="19" t="s">
        <v>68</v>
      </c>
      <c r="D117" s="8">
        <v>45764</v>
      </c>
      <c r="E117" s="7" t="s">
        <v>19</v>
      </c>
      <c r="F117" s="9">
        <v>0.32777777777777778</v>
      </c>
      <c r="G117" s="9">
        <v>0.8569444444444444</v>
      </c>
      <c r="H117" s="10">
        <f t="shared" si="2"/>
        <v>0</v>
      </c>
      <c r="I117" s="10">
        <f t="shared" si="3"/>
        <v>0.52916666666666656</v>
      </c>
      <c r="J117" s="35">
        <f>IF($I$11&gt;Table4[[#This Row],[Working Hours]],$F$6-Table4[[#This Row],[Working Hours]],0)</f>
        <v>0</v>
      </c>
      <c r="K117" s="20" t="s">
        <v>239</v>
      </c>
    </row>
    <row r="118" spans="3:11" x14ac:dyDescent="0.25">
      <c r="C118" s="19" t="s">
        <v>68</v>
      </c>
      <c r="D118" s="8">
        <v>45765</v>
      </c>
      <c r="E118" s="7" t="s">
        <v>7</v>
      </c>
      <c r="F118" s="9"/>
      <c r="G118" s="9"/>
      <c r="H118" s="10">
        <f t="shared" si="2"/>
        <v>0</v>
      </c>
      <c r="I118" s="10">
        <f t="shared" si="3"/>
        <v>0</v>
      </c>
      <c r="J118" s="35">
        <f>IF($I$11&gt;Table4[[#This Row],[Working Hours]],$F$6-Table4[[#This Row],[Working Hours]],0)</f>
        <v>0.33333333333333331</v>
      </c>
      <c r="K118" s="20" t="s">
        <v>240</v>
      </c>
    </row>
    <row r="119" spans="3:11" x14ac:dyDescent="0.25">
      <c r="C119" s="19" t="s">
        <v>68</v>
      </c>
      <c r="D119" s="8">
        <v>45766</v>
      </c>
      <c r="E119" s="7" t="s">
        <v>8</v>
      </c>
      <c r="F119" s="9"/>
      <c r="G119" s="9"/>
      <c r="H119" s="10">
        <f t="shared" si="2"/>
        <v>0</v>
      </c>
      <c r="I119" s="10">
        <f t="shared" si="3"/>
        <v>0</v>
      </c>
      <c r="J119" s="35">
        <f>IF($I$11&gt;Table4[[#This Row],[Working Hours]],$F$6-Table4[[#This Row],[Working Hours]],0)</f>
        <v>0.33333333333333331</v>
      </c>
      <c r="K119" s="20" t="s">
        <v>240</v>
      </c>
    </row>
    <row r="120" spans="3:11" x14ac:dyDescent="0.25">
      <c r="C120" s="19" t="s">
        <v>68</v>
      </c>
      <c r="D120" s="8">
        <v>45767</v>
      </c>
      <c r="E120" s="7" t="s">
        <v>20</v>
      </c>
      <c r="F120" s="9">
        <v>0.4381944444444445</v>
      </c>
      <c r="G120" s="9">
        <v>0.94097222222222221</v>
      </c>
      <c r="H120" s="10">
        <f t="shared" si="2"/>
        <v>0.10486111111111118</v>
      </c>
      <c r="I120" s="10">
        <f t="shared" si="3"/>
        <v>0.50277777777777777</v>
      </c>
      <c r="J120" s="35">
        <f>IF($I$11&gt;Table4[[#This Row],[Working Hours]],$F$6-Table4[[#This Row],[Working Hours]],0)</f>
        <v>0</v>
      </c>
      <c r="K120" s="20" t="s">
        <v>239</v>
      </c>
    </row>
    <row r="121" spans="3:11" x14ac:dyDescent="0.25">
      <c r="C121" s="19" t="s">
        <v>68</v>
      </c>
      <c r="D121" s="8">
        <v>45768</v>
      </c>
      <c r="E121" s="7" t="s">
        <v>21</v>
      </c>
      <c r="F121" s="9">
        <v>0.31736111111111115</v>
      </c>
      <c r="G121" s="9">
        <v>0.89444444444444438</v>
      </c>
      <c r="H121" s="10">
        <f t="shared" si="2"/>
        <v>0</v>
      </c>
      <c r="I121" s="10">
        <f t="shared" si="3"/>
        <v>0.57708333333333317</v>
      </c>
      <c r="J121" s="35">
        <f>IF($I$11&gt;Table4[[#This Row],[Working Hours]],$F$6-Table4[[#This Row],[Working Hours]],0)</f>
        <v>0</v>
      </c>
      <c r="K121" s="20" t="s">
        <v>239</v>
      </c>
    </row>
    <row r="122" spans="3:11" x14ac:dyDescent="0.25">
      <c r="C122" s="19" t="s">
        <v>68</v>
      </c>
      <c r="D122" s="8">
        <v>45769</v>
      </c>
      <c r="E122" s="7" t="s">
        <v>22</v>
      </c>
      <c r="F122" s="9">
        <v>0.4284722222222222</v>
      </c>
      <c r="G122" s="9">
        <v>0.9291666666666667</v>
      </c>
      <c r="H122" s="10">
        <f t="shared" si="2"/>
        <v>9.5138888888888884E-2</v>
      </c>
      <c r="I122" s="10">
        <f t="shared" si="3"/>
        <v>0.50069444444444455</v>
      </c>
      <c r="J122" s="35">
        <f>IF($I$11&gt;Table4[[#This Row],[Working Hours]],$F$6-Table4[[#This Row],[Working Hours]],0)</f>
        <v>0</v>
      </c>
      <c r="K122" s="20" t="s">
        <v>239</v>
      </c>
    </row>
    <row r="123" spans="3:11" x14ac:dyDescent="0.25">
      <c r="C123" s="19" t="s">
        <v>68</v>
      </c>
      <c r="D123" s="8">
        <v>45770</v>
      </c>
      <c r="E123" s="7" t="s">
        <v>18</v>
      </c>
      <c r="F123" s="9">
        <v>0.4909722222222222</v>
      </c>
      <c r="G123" s="9">
        <v>0.99652777777777779</v>
      </c>
      <c r="H123" s="10">
        <f t="shared" si="2"/>
        <v>0.15763888888888888</v>
      </c>
      <c r="I123" s="10">
        <f t="shared" si="3"/>
        <v>0.50555555555555554</v>
      </c>
      <c r="J123" s="35">
        <f>IF($I$11&gt;Table4[[#This Row],[Working Hours]],$F$6-Table4[[#This Row],[Working Hours]],0)</f>
        <v>0</v>
      </c>
      <c r="K123" s="20" t="s">
        <v>239</v>
      </c>
    </row>
    <row r="124" spans="3:11" x14ac:dyDescent="0.25">
      <c r="C124" s="19" t="s">
        <v>68</v>
      </c>
      <c r="D124" s="8">
        <v>45771</v>
      </c>
      <c r="E124" s="7" t="s">
        <v>19</v>
      </c>
      <c r="F124" s="9">
        <v>0.4465277777777778</v>
      </c>
      <c r="G124" s="9">
        <v>0.92986111111111114</v>
      </c>
      <c r="H124" s="10">
        <f t="shared" si="2"/>
        <v>0.11319444444444449</v>
      </c>
      <c r="I124" s="10">
        <f t="shared" si="3"/>
        <v>0.48333333333333334</v>
      </c>
      <c r="J124" s="35">
        <f>IF($I$11&gt;Table4[[#This Row],[Working Hours]],$F$6-Table4[[#This Row],[Working Hours]],0)</f>
        <v>0</v>
      </c>
      <c r="K124" s="20" t="s">
        <v>239</v>
      </c>
    </row>
    <row r="125" spans="3:11" x14ac:dyDescent="0.25">
      <c r="C125" s="19" t="s">
        <v>68</v>
      </c>
      <c r="D125" s="8">
        <v>45772</v>
      </c>
      <c r="E125" s="7" t="s">
        <v>7</v>
      </c>
      <c r="F125" s="9"/>
      <c r="G125" s="9"/>
      <c r="H125" s="10">
        <f t="shared" si="2"/>
        <v>0</v>
      </c>
      <c r="I125" s="10">
        <f t="shared" si="3"/>
        <v>0</v>
      </c>
      <c r="J125" s="35">
        <f>IF($I$11&gt;Table4[[#This Row],[Working Hours]],$F$6-Table4[[#This Row],[Working Hours]],0)</f>
        <v>0.33333333333333331</v>
      </c>
      <c r="K125" s="20" t="s">
        <v>240</v>
      </c>
    </row>
    <row r="126" spans="3:11" x14ac:dyDescent="0.25">
      <c r="C126" s="19" t="s">
        <v>68</v>
      </c>
      <c r="D126" s="8">
        <v>45773</v>
      </c>
      <c r="E126" s="7" t="s">
        <v>8</v>
      </c>
      <c r="F126" s="9"/>
      <c r="G126" s="9"/>
      <c r="H126" s="10">
        <f t="shared" si="2"/>
        <v>0</v>
      </c>
      <c r="I126" s="10">
        <f t="shared" si="3"/>
        <v>0</v>
      </c>
      <c r="J126" s="35">
        <f>IF($I$11&gt;Table4[[#This Row],[Working Hours]],$F$6-Table4[[#This Row],[Working Hours]],0)</f>
        <v>0.33333333333333331</v>
      </c>
      <c r="K126" s="20" t="s">
        <v>240</v>
      </c>
    </row>
    <row r="127" spans="3:11" x14ac:dyDescent="0.25">
      <c r="C127" s="19" t="s">
        <v>68</v>
      </c>
      <c r="D127" s="8">
        <v>45774</v>
      </c>
      <c r="E127" s="7" t="s">
        <v>20</v>
      </c>
      <c r="F127" s="9">
        <v>0.43541666666666662</v>
      </c>
      <c r="G127" s="9">
        <v>0.93333333333333324</v>
      </c>
      <c r="H127" s="10">
        <f t="shared" si="2"/>
        <v>0.1020833333333333</v>
      </c>
      <c r="I127" s="10">
        <f t="shared" si="3"/>
        <v>0.49791666666666662</v>
      </c>
      <c r="J127" s="35">
        <f>IF($I$11&gt;Table4[[#This Row],[Working Hours]],$F$6-Table4[[#This Row],[Working Hours]],0)</f>
        <v>0</v>
      </c>
      <c r="K127" s="20" t="s">
        <v>239</v>
      </c>
    </row>
    <row r="128" spans="3:11" x14ac:dyDescent="0.25">
      <c r="C128" s="19" t="s">
        <v>68</v>
      </c>
      <c r="D128" s="8">
        <v>45775</v>
      </c>
      <c r="E128" s="7" t="s">
        <v>21</v>
      </c>
      <c r="F128" s="9">
        <v>0.3430555555555555</v>
      </c>
      <c r="G128" s="9">
        <v>0.97916666666666663</v>
      </c>
      <c r="H128" s="10">
        <f t="shared" si="2"/>
        <v>9.7222222222221877E-3</v>
      </c>
      <c r="I128" s="10">
        <f t="shared" si="3"/>
        <v>0.63611111111111107</v>
      </c>
      <c r="J128" s="35">
        <f>IF($I$11&gt;Table4[[#This Row],[Working Hours]],$F$6-Table4[[#This Row],[Working Hours]],0)</f>
        <v>0</v>
      </c>
      <c r="K128" s="20" t="s">
        <v>239</v>
      </c>
    </row>
    <row r="129" spans="3:11" x14ac:dyDescent="0.25">
      <c r="C129" s="19" t="s">
        <v>68</v>
      </c>
      <c r="D129" s="8">
        <v>45776</v>
      </c>
      <c r="E129" s="7" t="s">
        <v>22</v>
      </c>
      <c r="F129" s="9">
        <v>0.43611111111111112</v>
      </c>
      <c r="G129" s="9">
        <v>0.96875</v>
      </c>
      <c r="H129" s="10">
        <f t="shared" si="2"/>
        <v>0.1027777777777778</v>
      </c>
      <c r="I129" s="10">
        <f t="shared" si="3"/>
        <v>0.53263888888888888</v>
      </c>
      <c r="J129" s="35">
        <f>IF($I$11&gt;Table4[[#This Row],[Working Hours]],$F$6-Table4[[#This Row],[Working Hours]],0)</f>
        <v>0</v>
      </c>
      <c r="K129" s="20" t="s">
        <v>239</v>
      </c>
    </row>
    <row r="130" spans="3:11" x14ac:dyDescent="0.25">
      <c r="C130" s="19" t="s">
        <v>68</v>
      </c>
      <c r="D130" s="8">
        <v>45777</v>
      </c>
      <c r="E130" s="7" t="s">
        <v>18</v>
      </c>
      <c r="F130" s="9">
        <v>0.31527777777777777</v>
      </c>
      <c r="G130" s="9">
        <v>0.93333333333333324</v>
      </c>
      <c r="H130" s="10">
        <f t="shared" si="2"/>
        <v>0</v>
      </c>
      <c r="I130" s="10">
        <f t="shared" si="3"/>
        <v>0.61805555555555547</v>
      </c>
      <c r="J130" s="35">
        <f>IF($I$11&gt;Table4[[#This Row],[Working Hours]],$F$6-Table4[[#This Row],[Working Hours]],0)</f>
        <v>0</v>
      </c>
      <c r="K130" s="20" t="s">
        <v>239</v>
      </c>
    </row>
    <row r="131" spans="3:11" x14ac:dyDescent="0.25">
      <c r="C131" s="19" t="s">
        <v>68</v>
      </c>
      <c r="D131" s="8">
        <v>45778</v>
      </c>
      <c r="E131" s="7" t="s">
        <v>19</v>
      </c>
      <c r="F131" s="9"/>
      <c r="G131" s="9"/>
      <c r="H131" s="10">
        <f t="shared" si="2"/>
        <v>0</v>
      </c>
      <c r="I131" s="10">
        <f t="shared" si="3"/>
        <v>0</v>
      </c>
      <c r="J131" s="35">
        <f>IF($I$11&gt;Table4[[#This Row],[Working Hours]],$F$6-Table4[[#This Row],[Working Hours]],0)</f>
        <v>0.33333333333333331</v>
      </c>
      <c r="K131" s="20" t="s">
        <v>71</v>
      </c>
    </row>
    <row r="132" spans="3:11" x14ac:dyDescent="0.25">
      <c r="C132" s="19" t="s">
        <v>68</v>
      </c>
      <c r="D132" s="8">
        <v>45779</v>
      </c>
      <c r="E132" s="7" t="s">
        <v>7</v>
      </c>
      <c r="F132" s="9"/>
      <c r="G132" s="9"/>
      <c r="H132" s="10">
        <f t="shared" si="2"/>
        <v>0</v>
      </c>
      <c r="I132" s="10">
        <f t="shared" si="3"/>
        <v>0</v>
      </c>
      <c r="J132" s="35">
        <f>IF($I$11&gt;Table4[[#This Row],[Working Hours]],$F$6-Table4[[#This Row],[Working Hours]],0)</f>
        <v>0.33333333333333331</v>
      </c>
      <c r="K132" s="20" t="s">
        <v>240</v>
      </c>
    </row>
    <row r="133" spans="3:11" x14ac:dyDescent="0.25">
      <c r="C133" s="19" t="s">
        <v>68</v>
      </c>
      <c r="D133" s="8">
        <v>45780</v>
      </c>
      <c r="E133" s="7" t="s">
        <v>8</v>
      </c>
      <c r="F133" s="9"/>
      <c r="G133" s="9"/>
      <c r="H133" s="10">
        <f t="shared" si="2"/>
        <v>0</v>
      </c>
      <c r="I133" s="10">
        <f t="shared" si="3"/>
        <v>0</v>
      </c>
      <c r="J133" s="35">
        <f>IF($I$11&gt;Table4[[#This Row],[Working Hours]],$F$6-Table4[[#This Row],[Working Hours]],0)</f>
        <v>0.33333333333333331</v>
      </c>
      <c r="K133" s="20" t="s">
        <v>240</v>
      </c>
    </row>
    <row r="134" spans="3:11" x14ac:dyDescent="0.25">
      <c r="C134" s="19" t="s">
        <v>68</v>
      </c>
      <c r="D134" s="8">
        <v>45781</v>
      </c>
      <c r="E134" s="7" t="s">
        <v>20</v>
      </c>
      <c r="F134" s="9">
        <v>0.33124999999999999</v>
      </c>
      <c r="G134" s="9">
        <v>0.93194444444444446</v>
      </c>
      <c r="H134" s="10">
        <f t="shared" si="2"/>
        <v>0</v>
      </c>
      <c r="I134" s="10">
        <f t="shared" si="3"/>
        <v>0.60069444444444442</v>
      </c>
      <c r="J134" s="35">
        <f>IF($I$11&gt;Table4[[#This Row],[Working Hours]],$F$6-Table4[[#This Row],[Working Hours]],0)</f>
        <v>0</v>
      </c>
      <c r="K134" s="20" t="s">
        <v>239</v>
      </c>
    </row>
    <row r="135" spans="3:11" x14ac:dyDescent="0.25">
      <c r="C135" s="19" t="s">
        <v>68</v>
      </c>
      <c r="D135" s="8">
        <v>45782</v>
      </c>
      <c r="E135" s="7" t="s">
        <v>21</v>
      </c>
      <c r="F135" s="9">
        <v>0.39027777777777778</v>
      </c>
      <c r="G135" s="9">
        <v>0.90069444444444446</v>
      </c>
      <c r="H135" s="10">
        <f t="shared" si="2"/>
        <v>5.6944444444444464E-2</v>
      </c>
      <c r="I135" s="10">
        <f t="shared" si="3"/>
        <v>0.51041666666666674</v>
      </c>
      <c r="J135" s="35">
        <f>IF($I$11&gt;Table4[[#This Row],[Working Hours]],$F$6-Table4[[#This Row],[Working Hours]],0)</f>
        <v>0</v>
      </c>
      <c r="K135" s="20" t="s">
        <v>239</v>
      </c>
    </row>
    <row r="136" spans="3:11" x14ac:dyDescent="0.25">
      <c r="C136" s="19" t="s">
        <v>68</v>
      </c>
      <c r="D136" s="8">
        <v>45783</v>
      </c>
      <c r="E136" s="7" t="s">
        <v>22</v>
      </c>
      <c r="F136" s="9">
        <v>0.33333333333333331</v>
      </c>
      <c r="G136" s="9">
        <v>0.99236111111111114</v>
      </c>
      <c r="H136" s="10">
        <f t="shared" si="2"/>
        <v>0</v>
      </c>
      <c r="I136" s="10">
        <f t="shared" si="3"/>
        <v>0.65902777777777777</v>
      </c>
      <c r="J136" s="35">
        <f>IF($I$11&gt;Table4[[#This Row],[Working Hours]],$F$6-Table4[[#This Row],[Working Hours]],0)</f>
        <v>0</v>
      </c>
      <c r="K136" s="20" t="s">
        <v>239</v>
      </c>
    </row>
    <row r="137" spans="3:11" x14ac:dyDescent="0.25">
      <c r="C137" s="19" t="s">
        <v>68</v>
      </c>
      <c r="D137" s="8">
        <v>45784</v>
      </c>
      <c r="E137" s="7" t="s">
        <v>18</v>
      </c>
      <c r="F137" s="9">
        <v>0.40277777777777773</v>
      </c>
      <c r="G137" s="9">
        <v>0.86805555555555547</v>
      </c>
      <c r="H137" s="10">
        <f t="shared" si="2"/>
        <v>6.944444444444442E-2</v>
      </c>
      <c r="I137" s="10">
        <f t="shared" si="3"/>
        <v>0.46527777777777773</v>
      </c>
      <c r="J137" s="35">
        <f>IF($I$11&gt;Table4[[#This Row],[Working Hours]],$F$6-Table4[[#This Row],[Working Hours]],0)</f>
        <v>0</v>
      </c>
      <c r="K137" s="20" t="s">
        <v>239</v>
      </c>
    </row>
    <row r="138" spans="3:11" x14ac:dyDescent="0.25">
      <c r="C138" s="19" t="s">
        <v>68</v>
      </c>
      <c r="D138" s="8">
        <v>45785</v>
      </c>
      <c r="E138" s="7" t="s">
        <v>19</v>
      </c>
      <c r="F138" s="9">
        <v>0.4284722222222222</v>
      </c>
      <c r="G138" s="9">
        <v>0.8569444444444444</v>
      </c>
      <c r="H138" s="10">
        <f t="shared" si="2"/>
        <v>9.5138888888888884E-2</v>
      </c>
      <c r="I138" s="10">
        <f t="shared" si="3"/>
        <v>0.4284722222222222</v>
      </c>
      <c r="J138" s="35">
        <f>IF($I$11&gt;Table4[[#This Row],[Working Hours]],$F$6-Table4[[#This Row],[Working Hours]],0)</f>
        <v>0</v>
      </c>
      <c r="K138" s="20" t="s">
        <v>239</v>
      </c>
    </row>
    <row r="139" spans="3:11" x14ac:dyDescent="0.25">
      <c r="C139" s="19" t="s">
        <v>68</v>
      </c>
      <c r="D139" s="8">
        <v>45786</v>
      </c>
      <c r="E139" s="7" t="s">
        <v>7</v>
      </c>
      <c r="F139" s="9"/>
      <c r="G139" s="9"/>
      <c r="H139" s="10">
        <f t="shared" si="2"/>
        <v>0</v>
      </c>
      <c r="I139" s="10">
        <f t="shared" si="3"/>
        <v>0</v>
      </c>
      <c r="J139" s="35">
        <f>IF($I$11&gt;Table4[[#This Row],[Working Hours]],$F$6-Table4[[#This Row],[Working Hours]],0)</f>
        <v>0.33333333333333331</v>
      </c>
      <c r="K139" s="20" t="s">
        <v>240</v>
      </c>
    </row>
    <row r="140" spans="3:11" x14ac:dyDescent="0.25">
      <c r="C140" s="19" t="s">
        <v>68</v>
      </c>
      <c r="D140" s="8">
        <v>45787</v>
      </c>
      <c r="E140" s="7" t="s">
        <v>8</v>
      </c>
      <c r="F140" s="9"/>
      <c r="G140" s="9"/>
      <c r="H140" s="10">
        <f t="shared" ref="H140:H203" si="4">IF($F140&gt;$F$6,$F140-$F$6,0)</f>
        <v>0</v>
      </c>
      <c r="I140" s="10">
        <f t="shared" ref="I140:I203" si="5">$G140-$F140</f>
        <v>0</v>
      </c>
      <c r="J140" s="35">
        <f>IF($I$11&gt;Table4[[#This Row],[Working Hours]],$F$6-Table4[[#This Row],[Working Hours]],0)</f>
        <v>0.33333333333333331</v>
      </c>
      <c r="K140" s="20" t="s">
        <v>240</v>
      </c>
    </row>
    <row r="141" spans="3:11" x14ac:dyDescent="0.25">
      <c r="C141" s="19" t="s">
        <v>68</v>
      </c>
      <c r="D141" s="8">
        <v>45788</v>
      </c>
      <c r="E141" s="7" t="s">
        <v>20</v>
      </c>
      <c r="F141" s="9">
        <v>0.46597222222222223</v>
      </c>
      <c r="G141" s="9">
        <v>0.8666666666666667</v>
      </c>
      <c r="H141" s="10">
        <f t="shared" si="4"/>
        <v>0.13263888888888892</v>
      </c>
      <c r="I141" s="10">
        <f t="shared" si="5"/>
        <v>0.40069444444444446</v>
      </c>
      <c r="J141" s="35">
        <f>IF($I$11&gt;Table4[[#This Row],[Working Hours]],$F$6-Table4[[#This Row],[Working Hours]],0)</f>
        <v>0</v>
      </c>
      <c r="K141" s="20" t="s">
        <v>239</v>
      </c>
    </row>
    <row r="142" spans="3:11" x14ac:dyDescent="0.25">
      <c r="C142" s="19" t="s">
        <v>68</v>
      </c>
      <c r="D142" s="8">
        <v>45789</v>
      </c>
      <c r="E142" s="7" t="s">
        <v>21</v>
      </c>
      <c r="F142" s="9"/>
      <c r="G142" s="9"/>
      <c r="H142" s="10">
        <f t="shared" si="4"/>
        <v>0</v>
      </c>
      <c r="I142" s="10">
        <f t="shared" si="5"/>
        <v>0</v>
      </c>
      <c r="J142" s="35">
        <f>IF($I$11&gt;Table4[[#This Row],[Working Hours]],$F$6-Table4[[#This Row],[Working Hours]],0)</f>
        <v>0.33333333333333331</v>
      </c>
      <c r="K142" s="20" t="s">
        <v>238</v>
      </c>
    </row>
    <row r="143" spans="3:11" x14ac:dyDescent="0.25">
      <c r="C143" s="19" t="s">
        <v>68</v>
      </c>
      <c r="D143" s="8">
        <v>45790</v>
      </c>
      <c r="E143" s="7" t="s">
        <v>22</v>
      </c>
      <c r="F143" s="9">
        <v>0.32916666666666666</v>
      </c>
      <c r="G143" s="9">
        <v>0.86944444444444446</v>
      </c>
      <c r="H143" s="10">
        <f t="shared" si="4"/>
        <v>0</v>
      </c>
      <c r="I143" s="10">
        <f t="shared" si="5"/>
        <v>0.54027777777777786</v>
      </c>
      <c r="J143" s="35">
        <f>IF($I$11&gt;Table4[[#This Row],[Working Hours]],$F$6-Table4[[#This Row],[Working Hours]],0)</f>
        <v>0</v>
      </c>
      <c r="K143" s="20" t="s">
        <v>239</v>
      </c>
    </row>
    <row r="144" spans="3:11" x14ac:dyDescent="0.25">
      <c r="C144" s="19" t="s">
        <v>68</v>
      </c>
      <c r="D144" s="8">
        <v>45791</v>
      </c>
      <c r="E144" s="7" t="s">
        <v>18</v>
      </c>
      <c r="F144" s="9">
        <v>0.46111111111111108</v>
      </c>
      <c r="G144" s="9">
        <v>0.97152777777777777</v>
      </c>
      <c r="H144" s="10">
        <f t="shared" si="4"/>
        <v>0.12777777777777777</v>
      </c>
      <c r="I144" s="10">
        <f t="shared" si="5"/>
        <v>0.51041666666666674</v>
      </c>
      <c r="J144" s="35">
        <f>IF($I$11&gt;Table4[[#This Row],[Working Hours]],$F$6-Table4[[#This Row],[Working Hours]],0)</f>
        <v>0</v>
      </c>
      <c r="K144" s="20" t="s">
        <v>239</v>
      </c>
    </row>
    <row r="145" spans="3:11" x14ac:dyDescent="0.25">
      <c r="C145" s="19" t="s">
        <v>68</v>
      </c>
      <c r="D145" s="8">
        <v>45792</v>
      </c>
      <c r="E145" s="7" t="s">
        <v>19</v>
      </c>
      <c r="F145" s="9">
        <v>0.41388888888888892</v>
      </c>
      <c r="G145" s="9">
        <v>0.94930555555555562</v>
      </c>
      <c r="H145" s="10">
        <f t="shared" si="4"/>
        <v>8.0555555555555602E-2</v>
      </c>
      <c r="I145" s="10">
        <f t="shared" si="5"/>
        <v>0.53541666666666665</v>
      </c>
      <c r="J145" s="35">
        <f>IF($I$11&gt;Table4[[#This Row],[Working Hours]],$F$6-Table4[[#This Row],[Working Hours]],0)</f>
        <v>0</v>
      </c>
      <c r="K145" s="20" t="s">
        <v>239</v>
      </c>
    </row>
    <row r="146" spans="3:11" x14ac:dyDescent="0.25">
      <c r="C146" s="19" t="s">
        <v>68</v>
      </c>
      <c r="D146" s="8">
        <v>45793</v>
      </c>
      <c r="E146" s="7" t="s">
        <v>7</v>
      </c>
      <c r="F146" s="9"/>
      <c r="G146" s="9"/>
      <c r="H146" s="10">
        <f t="shared" si="4"/>
        <v>0</v>
      </c>
      <c r="I146" s="10">
        <f t="shared" si="5"/>
        <v>0</v>
      </c>
      <c r="J146" s="35">
        <f>IF($I$11&gt;Table4[[#This Row],[Working Hours]],$F$6-Table4[[#This Row],[Working Hours]],0)</f>
        <v>0.33333333333333331</v>
      </c>
      <c r="K146" s="20" t="s">
        <v>240</v>
      </c>
    </row>
    <row r="147" spans="3:11" x14ac:dyDescent="0.25">
      <c r="C147" s="19" t="s">
        <v>68</v>
      </c>
      <c r="D147" s="8">
        <v>45794</v>
      </c>
      <c r="E147" s="7" t="s">
        <v>8</v>
      </c>
      <c r="F147" s="9"/>
      <c r="G147" s="9"/>
      <c r="H147" s="10">
        <f t="shared" si="4"/>
        <v>0</v>
      </c>
      <c r="I147" s="10">
        <f t="shared" si="5"/>
        <v>0</v>
      </c>
      <c r="J147" s="35">
        <f>IF($I$11&gt;Table4[[#This Row],[Working Hours]],$F$6-Table4[[#This Row],[Working Hours]],0)</f>
        <v>0.33333333333333331</v>
      </c>
      <c r="K147" s="20" t="s">
        <v>240</v>
      </c>
    </row>
    <row r="148" spans="3:11" x14ac:dyDescent="0.25">
      <c r="C148" s="19" t="s">
        <v>68</v>
      </c>
      <c r="D148" s="8">
        <v>45795</v>
      </c>
      <c r="E148" s="7" t="s">
        <v>20</v>
      </c>
      <c r="F148" s="9">
        <v>0.31458333333333333</v>
      </c>
      <c r="G148" s="9">
        <v>0.85</v>
      </c>
      <c r="H148" s="10">
        <f t="shared" si="4"/>
        <v>0</v>
      </c>
      <c r="I148" s="10">
        <f t="shared" si="5"/>
        <v>0.53541666666666665</v>
      </c>
      <c r="J148" s="35">
        <f>IF($I$11&gt;Table4[[#This Row],[Working Hours]],$F$6-Table4[[#This Row],[Working Hours]],0)</f>
        <v>0</v>
      </c>
      <c r="K148" s="20" t="s">
        <v>239</v>
      </c>
    </row>
    <row r="149" spans="3:11" x14ac:dyDescent="0.25">
      <c r="C149" s="19" t="s">
        <v>68</v>
      </c>
      <c r="D149" s="8">
        <v>45796</v>
      </c>
      <c r="E149" s="7" t="s">
        <v>21</v>
      </c>
      <c r="F149" s="9">
        <v>0.40277777777777773</v>
      </c>
      <c r="G149" s="9">
        <v>0.99652777777777779</v>
      </c>
      <c r="H149" s="10">
        <f t="shared" si="4"/>
        <v>6.944444444444442E-2</v>
      </c>
      <c r="I149" s="10">
        <f t="shared" si="5"/>
        <v>0.59375</v>
      </c>
      <c r="J149" s="35">
        <f>IF($I$11&gt;Table4[[#This Row],[Working Hours]],$F$6-Table4[[#This Row],[Working Hours]],0)</f>
        <v>0</v>
      </c>
      <c r="K149" s="20" t="s">
        <v>239</v>
      </c>
    </row>
    <row r="150" spans="3:11" x14ac:dyDescent="0.25">
      <c r="C150" s="19" t="s">
        <v>68</v>
      </c>
      <c r="D150" s="8">
        <v>45797</v>
      </c>
      <c r="E150" s="7" t="s">
        <v>22</v>
      </c>
      <c r="F150" s="9">
        <v>0.34375</v>
      </c>
      <c r="G150" s="9">
        <v>0.92986111111111114</v>
      </c>
      <c r="H150" s="10">
        <f t="shared" si="4"/>
        <v>1.0416666666666685E-2</v>
      </c>
      <c r="I150" s="10">
        <f t="shared" si="5"/>
        <v>0.58611111111111114</v>
      </c>
      <c r="J150" s="35">
        <f>IF($I$11&gt;Table4[[#This Row],[Working Hours]],$F$6-Table4[[#This Row],[Working Hours]],0)</f>
        <v>0</v>
      </c>
      <c r="K150" s="20" t="s">
        <v>239</v>
      </c>
    </row>
    <row r="151" spans="3:11" x14ac:dyDescent="0.25">
      <c r="C151" s="19" t="s">
        <v>68</v>
      </c>
      <c r="D151" s="8">
        <v>45798</v>
      </c>
      <c r="E151" s="7" t="s">
        <v>18</v>
      </c>
      <c r="F151" s="9">
        <v>0.31527777777777777</v>
      </c>
      <c r="G151" s="9">
        <v>0.85763888888888884</v>
      </c>
      <c r="H151" s="10">
        <f t="shared" si="4"/>
        <v>0</v>
      </c>
      <c r="I151" s="10">
        <f t="shared" si="5"/>
        <v>0.54236111111111107</v>
      </c>
      <c r="J151" s="35">
        <f>IF($I$11&gt;Table4[[#This Row],[Working Hours]],$F$6-Table4[[#This Row],[Working Hours]],0)</f>
        <v>0</v>
      </c>
      <c r="K151" s="20" t="s">
        <v>239</v>
      </c>
    </row>
    <row r="152" spans="3:11" x14ac:dyDescent="0.25">
      <c r="C152" s="19" t="s">
        <v>68</v>
      </c>
      <c r="D152" s="8">
        <v>45799</v>
      </c>
      <c r="E152" s="7" t="s">
        <v>19</v>
      </c>
      <c r="F152" s="9">
        <v>0.30069444444444443</v>
      </c>
      <c r="G152" s="9">
        <v>0.93611111111111101</v>
      </c>
      <c r="H152" s="10">
        <f t="shared" si="4"/>
        <v>0</v>
      </c>
      <c r="I152" s="10">
        <f t="shared" si="5"/>
        <v>0.63541666666666652</v>
      </c>
      <c r="J152" s="35">
        <f>IF($I$11&gt;Table4[[#This Row],[Working Hours]],$F$6-Table4[[#This Row],[Working Hours]],0)</f>
        <v>0</v>
      </c>
      <c r="K152" s="20" t="s">
        <v>239</v>
      </c>
    </row>
    <row r="153" spans="3:11" x14ac:dyDescent="0.25">
      <c r="C153" s="19" t="s">
        <v>68</v>
      </c>
      <c r="D153" s="8">
        <v>45800</v>
      </c>
      <c r="E153" s="7" t="s">
        <v>7</v>
      </c>
      <c r="F153" s="9"/>
      <c r="G153" s="9"/>
      <c r="H153" s="10">
        <f t="shared" si="4"/>
        <v>0</v>
      </c>
      <c r="I153" s="10">
        <f t="shared" si="5"/>
        <v>0</v>
      </c>
      <c r="J153" s="35">
        <f>IF($I$11&gt;Table4[[#This Row],[Working Hours]],$F$6-Table4[[#This Row],[Working Hours]],0)</f>
        <v>0.33333333333333331</v>
      </c>
      <c r="K153" s="20" t="s">
        <v>240</v>
      </c>
    </row>
    <row r="154" spans="3:11" x14ac:dyDescent="0.25">
      <c r="C154" s="19" t="s">
        <v>68</v>
      </c>
      <c r="D154" s="8">
        <v>45801</v>
      </c>
      <c r="E154" s="7" t="s">
        <v>8</v>
      </c>
      <c r="F154" s="9"/>
      <c r="G154" s="9"/>
      <c r="H154" s="10">
        <f t="shared" si="4"/>
        <v>0</v>
      </c>
      <c r="I154" s="10">
        <f t="shared" si="5"/>
        <v>0</v>
      </c>
      <c r="J154" s="35">
        <f>IF($I$11&gt;Table4[[#This Row],[Working Hours]],$F$6-Table4[[#This Row],[Working Hours]],0)</f>
        <v>0.33333333333333331</v>
      </c>
      <c r="K154" s="20" t="s">
        <v>240</v>
      </c>
    </row>
    <row r="155" spans="3:11" x14ac:dyDescent="0.25">
      <c r="C155" s="19" t="s">
        <v>68</v>
      </c>
      <c r="D155" s="8">
        <v>45802</v>
      </c>
      <c r="E155" s="7" t="s">
        <v>20</v>
      </c>
      <c r="F155" s="9">
        <v>0.46388888888888885</v>
      </c>
      <c r="G155" s="9">
        <v>0.90694444444444444</v>
      </c>
      <c r="H155" s="10">
        <f t="shared" si="4"/>
        <v>0.13055555555555554</v>
      </c>
      <c r="I155" s="10">
        <f t="shared" si="5"/>
        <v>0.44305555555555559</v>
      </c>
      <c r="J155" s="35">
        <f>IF($I$11&gt;Table4[[#This Row],[Working Hours]],$F$6-Table4[[#This Row],[Working Hours]],0)</f>
        <v>0</v>
      </c>
      <c r="K155" s="20" t="s">
        <v>239</v>
      </c>
    </row>
    <row r="156" spans="3:11" x14ac:dyDescent="0.25">
      <c r="C156" s="19" t="s">
        <v>68</v>
      </c>
      <c r="D156" s="8">
        <v>45803</v>
      </c>
      <c r="E156" s="7" t="s">
        <v>21</v>
      </c>
      <c r="F156" s="9">
        <v>0.3576388888888889</v>
      </c>
      <c r="G156" s="9">
        <v>0.89722222222222225</v>
      </c>
      <c r="H156" s="10">
        <f t="shared" si="4"/>
        <v>2.430555555555558E-2</v>
      </c>
      <c r="I156" s="10">
        <f t="shared" si="5"/>
        <v>0.5395833333333333</v>
      </c>
      <c r="J156" s="35">
        <f>IF($I$11&gt;Table4[[#This Row],[Working Hours]],$F$6-Table4[[#This Row],[Working Hours]],0)</f>
        <v>0</v>
      </c>
      <c r="K156" s="20" t="s">
        <v>239</v>
      </c>
    </row>
    <row r="157" spans="3:11" x14ac:dyDescent="0.25">
      <c r="C157" s="19" t="s">
        <v>68</v>
      </c>
      <c r="D157" s="8">
        <v>45804</v>
      </c>
      <c r="E157" s="7" t="s">
        <v>22</v>
      </c>
      <c r="F157" s="9">
        <v>0.41388888888888892</v>
      </c>
      <c r="G157" s="9">
        <v>0.85277777777777775</v>
      </c>
      <c r="H157" s="10">
        <f t="shared" si="4"/>
        <v>8.0555555555555602E-2</v>
      </c>
      <c r="I157" s="10">
        <f t="shared" si="5"/>
        <v>0.43888888888888883</v>
      </c>
      <c r="J157" s="35">
        <f>IF($I$11&gt;Table4[[#This Row],[Working Hours]],$F$6-Table4[[#This Row],[Working Hours]],0)</f>
        <v>0</v>
      </c>
      <c r="K157" s="20" t="s">
        <v>239</v>
      </c>
    </row>
    <row r="158" spans="3:11" x14ac:dyDescent="0.25">
      <c r="C158" s="19" t="s">
        <v>68</v>
      </c>
      <c r="D158" s="8">
        <v>45805</v>
      </c>
      <c r="E158" s="7" t="s">
        <v>18</v>
      </c>
      <c r="F158" s="9">
        <v>0.4993055555555555</v>
      </c>
      <c r="G158" s="9">
        <v>0.85</v>
      </c>
      <c r="H158" s="10">
        <f t="shared" si="4"/>
        <v>0.16597222222222219</v>
      </c>
      <c r="I158" s="10">
        <f t="shared" si="5"/>
        <v>0.35069444444444448</v>
      </c>
      <c r="J158" s="35">
        <v>0</v>
      </c>
      <c r="K158" s="20" t="s">
        <v>239</v>
      </c>
    </row>
    <row r="159" spans="3:11" x14ac:dyDescent="0.25">
      <c r="C159" s="19" t="s">
        <v>68</v>
      </c>
      <c r="D159" s="8">
        <v>45806</v>
      </c>
      <c r="E159" s="7" t="s">
        <v>19</v>
      </c>
      <c r="F159" s="9">
        <v>0.49583333333333335</v>
      </c>
      <c r="G159" s="9">
        <v>0.97013888888888899</v>
      </c>
      <c r="H159" s="10">
        <f t="shared" si="4"/>
        <v>0.16250000000000003</v>
      </c>
      <c r="I159" s="10">
        <f t="shared" si="5"/>
        <v>0.47430555555555565</v>
      </c>
      <c r="J159" s="35">
        <f>IF($I$11&gt;Table4[[#This Row],[Working Hours]],$F$6-Table4[[#This Row],[Working Hours]],0)</f>
        <v>0</v>
      </c>
      <c r="K159" s="20" t="s">
        <v>239</v>
      </c>
    </row>
    <row r="160" spans="3:11" x14ac:dyDescent="0.25">
      <c r="C160" s="19" t="s">
        <v>68</v>
      </c>
      <c r="D160" s="8">
        <v>45807</v>
      </c>
      <c r="E160" s="7" t="s">
        <v>7</v>
      </c>
      <c r="F160" s="9"/>
      <c r="G160" s="9"/>
      <c r="H160" s="10">
        <f t="shared" si="4"/>
        <v>0</v>
      </c>
      <c r="I160" s="10">
        <f t="shared" si="5"/>
        <v>0</v>
      </c>
      <c r="J160" s="35">
        <f>IF($I$11&gt;Table4[[#This Row],[Working Hours]],$F$6-Table4[[#This Row],[Working Hours]],0)</f>
        <v>0.33333333333333331</v>
      </c>
      <c r="K160" s="20" t="s">
        <v>240</v>
      </c>
    </row>
    <row r="161" spans="3:11" x14ac:dyDescent="0.25">
      <c r="C161" s="19" t="s">
        <v>68</v>
      </c>
      <c r="D161" s="8">
        <v>45808</v>
      </c>
      <c r="E161" s="7" t="s">
        <v>8</v>
      </c>
      <c r="F161" s="9"/>
      <c r="G161" s="9"/>
      <c r="H161" s="10">
        <f t="shared" si="4"/>
        <v>0</v>
      </c>
      <c r="I161" s="10">
        <f t="shared" si="5"/>
        <v>0</v>
      </c>
      <c r="J161" s="35">
        <f>IF($I$11&gt;Table4[[#This Row],[Working Hours]],$F$6-Table4[[#This Row],[Working Hours]],0)</f>
        <v>0.33333333333333331</v>
      </c>
      <c r="K161" s="20" t="s">
        <v>240</v>
      </c>
    </row>
    <row r="162" spans="3:11" x14ac:dyDescent="0.25">
      <c r="C162" s="13" t="s">
        <v>34</v>
      </c>
      <c r="D162" s="8">
        <v>45658</v>
      </c>
      <c r="E162" s="7" t="s">
        <v>20</v>
      </c>
      <c r="F162" s="9">
        <v>0.3</v>
      </c>
      <c r="G162" s="9">
        <v>0.93263888888888891</v>
      </c>
      <c r="H162" s="10">
        <f t="shared" si="4"/>
        <v>0</v>
      </c>
      <c r="I162" s="10">
        <f t="shared" si="5"/>
        <v>0.63263888888888897</v>
      </c>
      <c r="J162" s="35">
        <f>IF($I$11&gt;Table4[[#This Row],[Working Hours]],$F$6-Table4[[#This Row],[Working Hours]],0)</f>
        <v>0</v>
      </c>
      <c r="K162" s="20" t="s">
        <v>239</v>
      </c>
    </row>
    <row r="163" spans="3:11" x14ac:dyDescent="0.25">
      <c r="C163" s="13" t="s">
        <v>34</v>
      </c>
      <c r="D163" s="8">
        <v>45659</v>
      </c>
      <c r="E163" s="7" t="s">
        <v>21</v>
      </c>
      <c r="F163" s="9">
        <v>0.29236111111111113</v>
      </c>
      <c r="G163" s="9">
        <v>0.86041666666666661</v>
      </c>
      <c r="H163" s="10">
        <f t="shared" si="4"/>
        <v>0</v>
      </c>
      <c r="I163" s="10">
        <f t="shared" si="5"/>
        <v>0.56805555555555554</v>
      </c>
      <c r="J163" s="35">
        <f>IF($I$11&gt;Table4[[#This Row],[Working Hours]],$F$6-Table4[[#This Row],[Working Hours]],0)</f>
        <v>0</v>
      </c>
      <c r="K163" s="20" t="s">
        <v>239</v>
      </c>
    </row>
    <row r="164" spans="3:11" x14ac:dyDescent="0.25">
      <c r="C164" s="13" t="s">
        <v>34</v>
      </c>
      <c r="D164" s="8">
        <v>45660</v>
      </c>
      <c r="E164" s="7" t="s">
        <v>22</v>
      </c>
      <c r="F164" s="9">
        <v>0.38819444444444445</v>
      </c>
      <c r="G164" s="9">
        <v>0.90277777777777779</v>
      </c>
      <c r="H164" s="10">
        <f t="shared" si="4"/>
        <v>5.4861111111111138E-2</v>
      </c>
      <c r="I164" s="10">
        <f t="shared" si="5"/>
        <v>0.51458333333333339</v>
      </c>
      <c r="J164" s="35">
        <f>IF($I$11&gt;Table4[[#This Row],[Working Hours]],$F$6-Table4[[#This Row],[Working Hours]],0)</f>
        <v>0</v>
      </c>
      <c r="K164" s="20" t="s">
        <v>239</v>
      </c>
    </row>
    <row r="165" spans="3:11" x14ac:dyDescent="0.25">
      <c r="C165" s="13" t="s">
        <v>34</v>
      </c>
      <c r="D165" s="8">
        <v>45661</v>
      </c>
      <c r="E165" s="7" t="s">
        <v>18</v>
      </c>
      <c r="F165" s="9">
        <v>0.44375000000000003</v>
      </c>
      <c r="G165" s="9">
        <v>0.99236111111111114</v>
      </c>
      <c r="H165" s="10">
        <f t="shared" si="4"/>
        <v>0.11041666666666672</v>
      </c>
      <c r="I165" s="10">
        <f t="shared" si="5"/>
        <v>0.54861111111111116</v>
      </c>
      <c r="J165" s="35">
        <f>IF($I$11&gt;Table4[[#This Row],[Working Hours]],$F$6-Table4[[#This Row],[Working Hours]],0)</f>
        <v>0</v>
      </c>
      <c r="K165" s="20" t="s">
        <v>239</v>
      </c>
    </row>
    <row r="166" spans="3:11" x14ac:dyDescent="0.25">
      <c r="C166" s="13" t="s">
        <v>34</v>
      </c>
      <c r="D166" s="8">
        <v>45662</v>
      </c>
      <c r="E166" s="7" t="s">
        <v>19</v>
      </c>
      <c r="F166" s="9">
        <v>0.4770833333333333</v>
      </c>
      <c r="G166" s="9">
        <v>0.88611111111111107</v>
      </c>
      <c r="H166" s="10">
        <f t="shared" si="4"/>
        <v>0.14374999999999999</v>
      </c>
      <c r="I166" s="10">
        <f t="shared" si="5"/>
        <v>0.40902777777777777</v>
      </c>
      <c r="J166" s="35">
        <f>IF($I$11&gt;Table4[[#This Row],[Working Hours]],$F$6-Table4[[#This Row],[Working Hours]],0)</f>
        <v>0</v>
      </c>
      <c r="K166" s="20" t="s">
        <v>239</v>
      </c>
    </row>
    <row r="167" spans="3:11" x14ac:dyDescent="0.25">
      <c r="C167" s="13" t="s">
        <v>34</v>
      </c>
      <c r="D167" s="8">
        <v>45663</v>
      </c>
      <c r="E167" s="7" t="s">
        <v>7</v>
      </c>
      <c r="F167" s="9"/>
      <c r="G167" s="9"/>
      <c r="H167" s="10">
        <f t="shared" si="4"/>
        <v>0</v>
      </c>
      <c r="I167" s="10">
        <f t="shared" si="5"/>
        <v>0</v>
      </c>
      <c r="J167" s="35">
        <f>IF($I$11&gt;Table4[[#This Row],[Working Hours]],$F$6-Table4[[#This Row],[Working Hours]],0)</f>
        <v>0.33333333333333331</v>
      </c>
      <c r="K167" s="20" t="s">
        <v>240</v>
      </c>
    </row>
    <row r="168" spans="3:11" x14ac:dyDescent="0.25">
      <c r="C168" s="13" t="s">
        <v>34</v>
      </c>
      <c r="D168" s="8">
        <v>45664</v>
      </c>
      <c r="E168" s="7" t="s">
        <v>8</v>
      </c>
      <c r="F168" s="9"/>
      <c r="G168" s="9"/>
      <c r="H168" s="10">
        <f t="shared" si="4"/>
        <v>0</v>
      </c>
      <c r="I168" s="10">
        <f t="shared" si="5"/>
        <v>0</v>
      </c>
      <c r="J168" s="35">
        <f>IF($I$11&gt;Table4[[#This Row],[Working Hours]],$F$6-Table4[[#This Row],[Working Hours]],0)</f>
        <v>0.33333333333333331</v>
      </c>
      <c r="K168" s="20" t="s">
        <v>240</v>
      </c>
    </row>
    <row r="169" spans="3:11" x14ac:dyDescent="0.25">
      <c r="C169" s="13" t="s">
        <v>34</v>
      </c>
      <c r="D169" s="8">
        <v>45665</v>
      </c>
      <c r="E169" s="7" t="s">
        <v>20</v>
      </c>
      <c r="F169" s="9">
        <v>0.3430555555555555</v>
      </c>
      <c r="G169" s="9">
        <v>0.99513888888888891</v>
      </c>
      <c r="H169" s="10">
        <f t="shared" si="4"/>
        <v>9.7222222222221877E-3</v>
      </c>
      <c r="I169" s="10">
        <f t="shared" si="5"/>
        <v>0.65208333333333335</v>
      </c>
      <c r="J169" s="35">
        <f>IF($I$11&gt;Table4[[#This Row],[Working Hours]],$F$6-Table4[[#This Row],[Working Hours]],0)</f>
        <v>0</v>
      </c>
      <c r="K169" s="20" t="s">
        <v>239</v>
      </c>
    </row>
    <row r="170" spans="3:11" x14ac:dyDescent="0.25">
      <c r="C170" s="13" t="s">
        <v>34</v>
      </c>
      <c r="D170" s="8">
        <v>45666</v>
      </c>
      <c r="E170" s="7" t="s">
        <v>21</v>
      </c>
      <c r="F170" s="9">
        <v>0.34652777777777777</v>
      </c>
      <c r="G170" s="9">
        <v>0.9145833333333333</v>
      </c>
      <c r="H170" s="10">
        <f t="shared" si="4"/>
        <v>1.3194444444444453E-2</v>
      </c>
      <c r="I170" s="10">
        <f t="shared" si="5"/>
        <v>0.56805555555555554</v>
      </c>
      <c r="J170" s="35">
        <f>IF($I$11&gt;Table4[[#This Row],[Working Hours]],$F$6-Table4[[#This Row],[Working Hours]],0)</f>
        <v>0</v>
      </c>
      <c r="K170" s="20" t="s">
        <v>239</v>
      </c>
    </row>
    <row r="171" spans="3:11" x14ac:dyDescent="0.25">
      <c r="C171" s="13" t="s">
        <v>34</v>
      </c>
      <c r="D171" s="8">
        <v>45667</v>
      </c>
      <c r="E171" s="7" t="s">
        <v>22</v>
      </c>
      <c r="F171" s="9">
        <v>0.34375</v>
      </c>
      <c r="G171" s="9">
        <v>0.90138888888888891</v>
      </c>
      <c r="H171" s="10">
        <f t="shared" si="4"/>
        <v>1.0416666666666685E-2</v>
      </c>
      <c r="I171" s="10">
        <f t="shared" si="5"/>
        <v>0.55763888888888891</v>
      </c>
      <c r="J171" s="35">
        <f>IF($I$11&gt;Table4[[#This Row],[Working Hours]],$F$6-Table4[[#This Row],[Working Hours]],0)</f>
        <v>0</v>
      </c>
      <c r="K171" s="20" t="s">
        <v>239</v>
      </c>
    </row>
    <row r="172" spans="3:11" x14ac:dyDescent="0.25">
      <c r="C172" s="13" t="s">
        <v>34</v>
      </c>
      <c r="D172" s="8">
        <v>45668</v>
      </c>
      <c r="E172" s="7" t="s">
        <v>18</v>
      </c>
      <c r="F172" s="9">
        <v>0.46319444444444446</v>
      </c>
      <c r="G172" s="9">
        <v>0.98958333333333337</v>
      </c>
      <c r="H172" s="10">
        <f t="shared" si="4"/>
        <v>0.12986111111111115</v>
      </c>
      <c r="I172" s="10">
        <f t="shared" si="5"/>
        <v>0.52638888888888891</v>
      </c>
      <c r="J172" s="35">
        <f>IF($I$11&gt;Table4[[#This Row],[Working Hours]],$F$6-Table4[[#This Row],[Working Hours]],0)</f>
        <v>0</v>
      </c>
      <c r="K172" s="20" t="s">
        <v>239</v>
      </c>
    </row>
    <row r="173" spans="3:11" x14ac:dyDescent="0.25">
      <c r="C173" s="13" t="s">
        <v>34</v>
      </c>
      <c r="D173" s="8">
        <v>45669</v>
      </c>
      <c r="E173" s="7" t="s">
        <v>19</v>
      </c>
      <c r="F173" s="9">
        <v>0.30069444444444443</v>
      </c>
      <c r="G173" s="9">
        <v>0.85277777777777775</v>
      </c>
      <c r="H173" s="10">
        <f t="shared" si="4"/>
        <v>0</v>
      </c>
      <c r="I173" s="10">
        <f t="shared" si="5"/>
        <v>0.55208333333333326</v>
      </c>
      <c r="J173" s="35">
        <f>IF($I$11&gt;Table4[[#This Row],[Working Hours]],$F$6-Table4[[#This Row],[Working Hours]],0)</f>
        <v>0</v>
      </c>
      <c r="K173" s="20" t="s">
        <v>239</v>
      </c>
    </row>
    <row r="174" spans="3:11" x14ac:dyDescent="0.25">
      <c r="C174" s="13" t="s">
        <v>34</v>
      </c>
      <c r="D174" s="8">
        <v>45670</v>
      </c>
      <c r="E174" s="7" t="s">
        <v>7</v>
      </c>
      <c r="F174" s="9"/>
      <c r="G174" s="9"/>
      <c r="H174" s="10">
        <f t="shared" si="4"/>
        <v>0</v>
      </c>
      <c r="I174" s="10">
        <f t="shared" si="5"/>
        <v>0</v>
      </c>
      <c r="J174" s="35">
        <f>IF($I$11&gt;Table4[[#This Row],[Working Hours]],$F$6-Table4[[#This Row],[Working Hours]],0)</f>
        <v>0.33333333333333331</v>
      </c>
      <c r="K174" s="20" t="s">
        <v>240</v>
      </c>
    </row>
    <row r="175" spans="3:11" x14ac:dyDescent="0.25">
      <c r="C175" s="13" t="s">
        <v>34</v>
      </c>
      <c r="D175" s="8">
        <v>45671</v>
      </c>
      <c r="E175" s="7" t="s">
        <v>8</v>
      </c>
      <c r="F175" s="9"/>
      <c r="G175" s="9"/>
      <c r="H175" s="10">
        <f t="shared" si="4"/>
        <v>0</v>
      </c>
      <c r="I175" s="10">
        <f t="shared" si="5"/>
        <v>0</v>
      </c>
      <c r="J175" s="35">
        <f>IF($I$11&gt;Table4[[#This Row],[Working Hours]],$F$6-Table4[[#This Row],[Working Hours]],0)</f>
        <v>0.33333333333333331</v>
      </c>
      <c r="K175" s="20" t="s">
        <v>72</v>
      </c>
    </row>
    <row r="176" spans="3:11" x14ac:dyDescent="0.25">
      <c r="C176" s="13" t="s">
        <v>34</v>
      </c>
      <c r="D176" s="8">
        <v>45672</v>
      </c>
      <c r="E176" s="7" t="s">
        <v>20</v>
      </c>
      <c r="F176" s="9">
        <v>0.4145833333333333</v>
      </c>
      <c r="G176" s="9">
        <v>0.94166666666666676</v>
      </c>
      <c r="H176" s="10">
        <f t="shared" si="4"/>
        <v>8.1249999999999989E-2</v>
      </c>
      <c r="I176" s="10">
        <f t="shared" si="5"/>
        <v>0.52708333333333346</v>
      </c>
      <c r="J176" s="35">
        <f>IF($I$11&gt;Table4[[#This Row],[Working Hours]],$F$6-Table4[[#This Row],[Working Hours]],0)</f>
        <v>0</v>
      </c>
      <c r="K176" s="20" t="s">
        <v>239</v>
      </c>
    </row>
    <row r="177" spans="3:11" x14ac:dyDescent="0.25">
      <c r="C177" s="13" t="s">
        <v>34</v>
      </c>
      <c r="D177" s="8">
        <v>45673</v>
      </c>
      <c r="E177" s="7" t="s">
        <v>21</v>
      </c>
      <c r="F177" s="9">
        <v>0.40625</v>
      </c>
      <c r="G177" s="9">
        <v>0.97361111111111109</v>
      </c>
      <c r="H177" s="10">
        <f t="shared" si="4"/>
        <v>7.2916666666666685E-2</v>
      </c>
      <c r="I177" s="10">
        <f t="shared" si="5"/>
        <v>0.56736111111111109</v>
      </c>
      <c r="J177" s="35">
        <f>IF($I$11&gt;Table4[[#This Row],[Working Hours]],$F$6-Table4[[#This Row],[Working Hours]],0)</f>
        <v>0</v>
      </c>
      <c r="K177" s="20" t="s">
        <v>239</v>
      </c>
    </row>
    <row r="178" spans="3:11" x14ac:dyDescent="0.25">
      <c r="C178" s="13" t="s">
        <v>34</v>
      </c>
      <c r="D178" s="8">
        <v>45674</v>
      </c>
      <c r="E178" s="7" t="s">
        <v>22</v>
      </c>
      <c r="F178" s="9">
        <v>0.38750000000000001</v>
      </c>
      <c r="G178" s="9">
        <v>0.90347222222222223</v>
      </c>
      <c r="H178" s="10">
        <f t="shared" si="4"/>
        <v>5.4166666666666696E-2</v>
      </c>
      <c r="I178" s="10">
        <f t="shared" si="5"/>
        <v>0.51597222222222228</v>
      </c>
      <c r="J178" s="35">
        <f>IF($I$11&gt;Table4[[#This Row],[Working Hours]],$F$6-Table4[[#This Row],[Working Hours]],0)</f>
        <v>0</v>
      </c>
      <c r="K178" s="20" t="s">
        <v>239</v>
      </c>
    </row>
    <row r="179" spans="3:11" x14ac:dyDescent="0.25">
      <c r="C179" s="13" t="s">
        <v>34</v>
      </c>
      <c r="D179" s="8">
        <v>45675</v>
      </c>
      <c r="E179" s="7" t="s">
        <v>18</v>
      </c>
      <c r="F179" s="9">
        <v>0.4777777777777778</v>
      </c>
      <c r="G179" s="9">
        <v>0.87291666666666667</v>
      </c>
      <c r="H179" s="10">
        <f t="shared" si="4"/>
        <v>0.14444444444444449</v>
      </c>
      <c r="I179" s="10">
        <f t="shared" si="5"/>
        <v>0.39513888888888887</v>
      </c>
      <c r="J179" s="35">
        <f>IF($I$11&gt;Table4[[#This Row],[Working Hours]],$F$6-Table4[[#This Row],[Working Hours]],0)</f>
        <v>0</v>
      </c>
      <c r="K179" s="20" t="s">
        <v>239</v>
      </c>
    </row>
    <row r="180" spans="3:11" x14ac:dyDescent="0.25">
      <c r="C180" s="13" t="s">
        <v>34</v>
      </c>
      <c r="D180" s="8">
        <v>45676</v>
      </c>
      <c r="E180" s="7" t="s">
        <v>19</v>
      </c>
      <c r="F180" s="9">
        <v>0.29166666666666669</v>
      </c>
      <c r="G180" s="9">
        <v>0.88958333333333339</v>
      </c>
      <c r="H180" s="10">
        <f t="shared" si="4"/>
        <v>0</v>
      </c>
      <c r="I180" s="10">
        <f t="shared" si="5"/>
        <v>0.59791666666666665</v>
      </c>
      <c r="J180" s="35">
        <f>IF($I$11&gt;Table4[[#This Row],[Working Hours]],$F$6-Table4[[#This Row],[Working Hours]],0)</f>
        <v>0</v>
      </c>
      <c r="K180" s="20" t="s">
        <v>239</v>
      </c>
    </row>
    <row r="181" spans="3:11" x14ac:dyDescent="0.25">
      <c r="C181" s="13" t="s">
        <v>34</v>
      </c>
      <c r="D181" s="8">
        <v>45677</v>
      </c>
      <c r="E181" s="7" t="s">
        <v>7</v>
      </c>
      <c r="F181" s="9"/>
      <c r="G181" s="9"/>
      <c r="H181" s="10">
        <f t="shared" si="4"/>
        <v>0</v>
      </c>
      <c r="I181" s="10">
        <f t="shared" si="5"/>
        <v>0</v>
      </c>
      <c r="J181" s="35">
        <f>IF($I$11&gt;Table4[[#This Row],[Working Hours]],$F$6-Table4[[#This Row],[Working Hours]],0)</f>
        <v>0.33333333333333331</v>
      </c>
      <c r="K181" s="20" t="s">
        <v>240</v>
      </c>
    </row>
    <row r="182" spans="3:11" x14ac:dyDescent="0.25">
      <c r="C182" s="13" t="s">
        <v>34</v>
      </c>
      <c r="D182" s="8">
        <v>45678</v>
      </c>
      <c r="E182" s="7" t="s">
        <v>8</v>
      </c>
      <c r="F182" s="9"/>
      <c r="G182" s="9"/>
      <c r="H182" s="10">
        <f t="shared" si="4"/>
        <v>0</v>
      </c>
      <c r="I182" s="10">
        <f t="shared" si="5"/>
        <v>0</v>
      </c>
      <c r="J182" s="35">
        <f>IF($I$11&gt;Table4[[#This Row],[Working Hours]],$F$6-Table4[[#This Row],[Working Hours]],0)</f>
        <v>0.33333333333333331</v>
      </c>
      <c r="K182" s="20" t="s">
        <v>240</v>
      </c>
    </row>
    <row r="183" spans="3:11" x14ac:dyDescent="0.25">
      <c r="C183" s="13" t="s">
        <v>34</v>
      </c>
      <c r="D183" s="8">
        <v>45679</v>
      </c>
      <c r="E183" s="7" t="s">
        <v>20</v>
      </c>
      <c r="F183" s="9">
        <v>0.3972222222222222</v>
      </c>
      <c r="G183" s="9">
        <v>0.98263888888888884</v>
      </c>
      <c r="H183" s="10">
        <f t="shared" si="4"/>
        <v>6.3888888888888884E-2</v>
      </c>
      <c r="I183" s="10">
        <f t="shared" si="5"/>
        <v>0.5854166666666667</v>
      </c>
      <c r="J183" s="35">
        <f>IF($I$11&gt;Table4[[#This Row],[Working Hours]],$F$6-Table4[[#This Row],[Working Hours]],0)</f>
        <v>0</v>
      </c>
      <c r="K183" s="20" t="s">
        <v>239</v>
      </c>
    </row>
    <row r="184" spans="3:11" x14ac:dyDescent="0.25">
      <c r="C184" s="13" t="s">
        <v>34</v>
      </c>
      <c r="D184" s="8">
        <v>45680</v>
      </c>
      <c r="E184" s="7" t="s">
        <v>21</v>
      </c>
      <c r="F184" s="9">
        <v>0.41736111111111113</v>
      </c>
      <c r="G184" s="9">
        <v>0.88750000000000007</v>
      </c>
      <c r="H184" s="10">
        <f t="shared" si="4"/>
        <v>8.4027777777777812E-2</v>
      </c>
      <c r="I184" s="10">
        <f t="shared" si="5"/>
        <v>0.47013888888888894</v>
      </c>
      <c r="J184" s="35">
        <f>IF($I$11&gt;Table4[[#This Row],[Working Hours]],$F$6-Table4[[#This Row],[Working Hours]],0)</f>
        <v>0</v>
      </c>
      <c r="K184" s="20" t="s">
        <v>239</v>
      </c>
    </row>
    <row r="185" spans="3:11" x14ac:dyDescent="0.25">
      <c r="C185" s="13" t="s">
        <v>34</v>
      </c>
      <c r="D185" s="8">
        <v>45681</v>
      </c>
      <c r="E185" s="7" t="s">
        <v>22</v>
      </c>
      <c r="F185" s="9">
        <v>0.43333333333333335</v>
      </c>
      <c r="G185" s="9">
        <v>0.99305555555555547</v>
      </c>
      <c r="H185" s="10">
        <f t="shared" si="4"/>
        <v>0.10000000000000003</v>
      </c>
      <c r="I185" s="10">
        <f t="shared" si="5"/>
        <v>0.55972222222222212</v>
      </c>
      <c r="J185" s="35">
        <f>IF($I$11&gt;Table4[[#This Row],[Working Hours]],$F$6-Table4[[#This Row],[Working Hours]],0)</f>
        <v>0</v>
      </c>
      <c r="K185" s="20" t="s">
        <v>239</v>
      </c>
    </row>
    <row r="186" spans="3:11" x14ac:dyDescent="0.25">
      <c r="C186" s="13" t="s">
        <v>34</v>
      </c>
      <c r="D186" s="8">
        <v>45682</v>
      </c>
      <c r="E186" s="7" t="s">
        <v>18</v>
      </c>
      <c r="F186" s="9">
        <v>0.39999999999999997</v>
      </c>
      <c r="G186" s="9">
        <v>0.85069444444444453</v>
      </c>
      <c r="H186" s="10">
        <f t="shared" si="4"/>
        <v>6.6666666666666652E-2</v>
      </c>
      <c r="I186" s="10">
        <f t="shared" si="5"/>
        <v>0.45069444444444456</v>
      </c>
      <c r="J186" s="35">
        <f>IF($I$11&gt;Table4[[#This Row],[Working Hours]],$F$6-Table4[[#This Row],[Working Hours]],0)</f>
        <v>0</v>
      </c>
      <c r="K186" s="20" t="s">
        <v>239</v>
      </c>
    </row>
    <row r="187" spans="3:11" x14ac:dyDescent="0.25">
      <c r="C187" s="13" t="s">
        <v>34</v>
      </c>
      <c r="D187" s="8">
        <v>45683</v>
      </c>
      <c r="E187" s="7" t="s">
        <v>19</v>
      </c>
      <c r="F187" s="9"/>
      <c r="G187" s="9"/>
      <c r="H187" s="10">
        <f t="shared" si="4"/>
        <v>0</v>
      </c>
      <c r="I187" s="10">
        <f t="shared" si="5"/>
        <v>0</v>
      </c>
      <c r="J187" s="35">
        <f>IF($I$11&gt;Table4[[#This Row],[Working Hours]],$F$6-Table4[[#This Row],[Working Hours]],0)</f>
        <v>0.33333333333333331</v>
      </c>
      <c r="K187" s="20" t="s">
        <v>241</v>
      </c>
    </row>
    <row r="188" spans="3:11" x14ac:dyDescent="0.25">
      <c r="C188" s="13" t="s">
        <v>34</v>
      </c>
      <c r="D188" s="8">
        <v>45684</v>
      </c>
      <c r="E188" s="7" t="s">
        <v>7</v>
      </c>
      <c r="F188" s="9"/>
      <c r="G188" s="9"/>
      <c r="H188" s="10">
        <f t="shared" si="4"/>
        <v>0</v>
      </c>
      <c r="I188" s="10">
        <f t="shared" si="5"/>
        <v>0</v>
      </c>
      <c r="J188" s="35">
        <f>IF($I$11&gt;Table4[[#This Row],[Working Hours]],$F$6-Table4[[#This Row],[Working Hours]],0)</f>
        <v>0.33333333333333331</v>
      </c>
      <c r="K188" s="20" t="s">
        <v>240</v>
      </c>
    </row>
    <row r="189" spans="3:11" x14ac:dyDescent="0.25">
      <c r="C189" s="13" t="s">
        <v>34</v>
      </c>
      <c r="D189" s="8">
        <v>45685</v>
      </c>
      <c r="E189" s="7" t="s">
        <v>8</v>
      </c>
      <c r="F189" s="9"/>
      <c r="G189" s="9"/>
      <c r="H189" s="10">
        <f t="shared" si="4"/>
        <v>0</v>
      </c>
      <c r="I189" s="10">
        <f t="shared" si="5"/>
        <v>0</v>
      </c>
      <c r="J189" s="35">
        <f>IF($I$11&gt;Table4[[#This Row],[Working Hours]],$F$6-Table4[[#This Row],[Working Hours]],0)</f>
        <v>0.33333333333333331</v>
      </c>
      <c r="K189" s="20" t="s">
        <v>240</v>
      </c>
    </row>
    <row r="190" spans="3:11" x14ac:dyDescent="0.25">
      <c r="C190" s="13" t="s">
        <v>34</v>
      </c>
      <c r="D190" s="8">
        <v>45686</v>
      </c>
      <c r="E190" s="7" t="s">
        <v>20</v>
      </c>
      <c r="F190" s="9">
        <v>0.44930555555555557</v>
      </c>
      <c r="G190" s="9">
        <v>0.95000000000000007</v>
      </c>
      <c r="H190" s="10">
        <f t="shared" si="4"/>
        <v>0.11597222222222225</v>
      </c>
      <c r="I190" s="10">
        <f t="shared" si="5"/>
        <v>0.50069444444444455</v>
      </c>
      <c r="J190" s="35">
        <f>IF($I$11&gt;Table4[[#This Row],[Working Hours]],$F$6-Table4[[#This Row],[Working Hours]],0)</f>
        <v>0</v>
      </c>
      <c r="K190" s="20" t="s">
        <v>239</v>
      </c>
    </row>
    <row r="191" spans="3:11" x14ac:dyDescent="0.25">
      <c r="C191" s="13" t="s">
        <v>34</v>
      </c>
      <c r="D191" s="8">
        <v>45687</v>
      </c>
      <c r="E191" s="7" t="s">
        <v>21</v>
      </c>
      <c r="F191" s="9">
        <v>0.40486111111111112</v>
      </c>
      <c r="G191" s="9">
        <v>0.98055555555555562</v>
      </c>
      <c r="H191" s="10">
        <f t="shared" si="4"/>
        <v>7.1527777777777801E-2</v>
      </c>
      <c r="I191" s="10">
        <f t="shared" si="5"/>
        <v>0.57569444444444451</v>
      </c>
      <c r="J191" s="35">
        <f>IF($I$11&gt;Table4[[#This Row],[Working Hours]],$F$6-Table4[[#This Row],[Working Hours]],0)</f>
        <v>0</v>
      </c>
      <c r="K191" s="20" t="s">
        <v>239</v>
      </c>
    </row>
    <row r="192" spans="3:11" x14ac:dyDescent="0.25">
      <c r="C192" s="13" t="s">
        <v>34</v>
      </c>
      <c r="D192" s="8">
        <v>45688</v>
      </c>
      <c r="E192" s="7" t="s">
        <v>22</v>
      </c>
      <c r="F192" s="9">
        <v>0.4465277777777778</v>
      </c>
      <c r="G192" s="9">
        <v>0.97569444444444453</v>
      </c>
      <c r="H192" s="10">
        <f t="shared" si="4"/>
        <v>0.11319444444444449</v>
      </c>
      <c r="I192" s="10">
        <f t="shared" si="5"/>
        <v>0.52916666666666679</v>
      </c>
      <c r="J192" s="35">
        <f>IF($I$11&gt;Table4[[#This Row],[Working Hours]],$F$6-Table4[[#This Row],[Working Hours]],0)</f>
        <v>0</v>
      </c>
      <c r="K192" s="20" t="s">
        <v>239</v>
      </c>
    </row>
    <row r="193" spans="3:11" x14ac:dyDescent="0.25">
      <c r="C193" s="13" t="s">
        <v>34</v>
      </c>
      <c r="D193" s="8">
        <v>45689</v>
      </c>
      <c r="E193" s="7" t="s">
        <v>18</v>
      </c>
      <c r="F193" s="9">
        <v>0.46666666666666662</v>
      </c>
      <c r="G193" s="9">
        <v>0.88750000000000007</v>
      </c>
      <c r="H193" s="10">
        <f t="shared" si="4"/>
        <v>0.1333333333333333</v>
      </c>
      <c r="I193" s="10">
        <f t="shared" si="5"/>
        <v>0.42083333333333345</v>
      </c>
      <c r="J193" s="35">
        <f>IF($I$11&gt;Table4[[#This Row],[Working Hours]],$F$6-Table4[[#This Row],[Working Hours]],0)</f>
        <v>0</v>
      </c>
      <c r="K193" s="20" t="s">
        <v>239</v>
      </c>
    </row>
    <row r="194" spans="3:11" x14ac:dyDescent="0.25">
      <c r="C194" s="13" t="s">
        <v>34</v>
      </c>
      <c r="D194" s="8">
        <v>45690</v>
      </c>
      <c r="E194" s="7" t="s">
        <v>19</v>
      </c>
      <c r="F194" s="9">
        <v>0.47152777777777777</v>
      </c>
      <c r="G194" s="9">
        <v>0.86249999999999993</v>
      </c>
      <c r="H194" s="10">
        <f t="shared" si="4"/>
        <v>0.13819444444444445</v>
      </c>
      <c r="I194" s="10">
        <f t="shared" si="5"/>
        <v>0.39097222222222217</v>
      </c>
      <c r="J194" s="35">
        <f>IF($I$11&gt;Table4[[#This Row],[Working Hours]],$F$6-Table4[[#This Row],[Working Hours]],0)</f>
        <v>0</v>
      </c>
      <c r="K194" s="20" t="s">
        <v>239</v>
      </c>
    </row>
    <row r="195" spans="3:11" x14ac:dyDescent="0.25">
      <c r="C195" s="13" t="s">
        <v>34</v>
      </c>
      <c r="D195" s="8">
        <v>45691</v>
      </c>
      <c r="E195" s="7" t="s">
        <v>7</v>
      </c>
      <c r="F195" s="9"/>
      <c r="G195" s="9"/>
      <c r="H195" s="10">
        <f t="shared" si="4"/>
        <v>0</v>
      </c>
      <c r="I195" s="10">
        <f t="shared" si="5"/>
        <v>0</v>
      </c>
      <c r="J195" s="35">
        <f>IF($I$11&gt;Table4[[#This Row],[Working Hours]],$F$6-Table4[[#This Row],[Working Hours]],0)</f>
        <v>0.33333333333333331</v>
      </c>
      <c r="K195" s="20" t="s">
        <v>240</v>
      </c>
    </row>
    <row r="196" spans="3:11" x14ac:dyDescent="0.25">
      <c r="C196" s="13" t="s">
        <v>34</v>
      </c>
      <c r="D196" s="8">
        <v>45692</v>
      </c>
      <c r="E196" s="7" t="s">
        <v>8</v>
      </c>
      <c r="F196" s="9"/>
      <c r="G196" s="9"/>
      <c r="H196" s="10">
        <f t="shared" si="4"/>
        <v>0</v>
      </c>
      <c r="I196" s="10">
        <f t="shared" si="5"/>
        <v>0</v>
      </c>
      <c r="J196" s="35">
        <f>IF($I$11&gt;Table4[[#This Row],[Working Hours]],$F$6-Table4[[#This Row],[Working Hours]],0)</f>
        <v>0.33333333333333331</v>
      </c>
      <c r="K196" s="20" t="s">
        <v>240</v>
      </c>
    </row>
    <row r="197" spans="3:11" x14ac:dyDescent="0.25">
      <c r="C197" s="13" t="s">
        <v>34</v>
      </c>
      <c r="D197" s="8">
        <v>45693</v>
      </c>
      <c r="E197" s="7" t="s">
        <v>20</v>
      </c>
      <c r="F197" s="9">
        <v>0.46111111111111108</v>
      </c>
      <c r="G197" s="9">
        <v>0.88541666666666663</v>
      </c>
      <c r="H197" s="10">
        <f t="shared" si="4"/>
        <v>0.12777777777777777</v>
      </c>
      <c r="I197" s="10">
        <f t="shared" si="5"/>
        <v>0.42430555555555555</v>
      </c>
      <c r="J197" s="35">
        <f>IF($I$11&gt;Table4[[#This Row],[Working Hours]],$F$6-Table4[[#This Row],[Working Hours]],0)</f>
        <v>0</v>
      </c>
      <c r="K197" s="20" t="s">
        <v>239</v>
      </c>
    </row>
    <row r="198" spans="3:11" x14ac:dyDescent="0.25">
      <c r="C198" s="13" t="s">
        <v>34</v>
      </c>
      <c r="D198" s="8">
        <v>45694</v>
      </c>
      <c r="E198" s="7" t="s">
        <v>21</v>
      </c>
      <c r="F198" s="9">
        <v>0.3125</v>
      </c>
      <c r="G198" s="9">
        <v>0.86875000000000002</v>
      </c>
      <c r="H198" s="10">
        <f t="shared" si="4"/>
        <v>0</v>
      </c>
      <c r="I198" s="10">
        <f t="shared" si="5"/>
        <v>0.55625000000000002</v>
      </c>
      <c r="J198" s="35">
        <f>IF($I$11&gt;Table4[[#This Row],[Working Hours]],$F$6-Table4[[#This Row],[Working Hours]],0)</f>
        <v>0</v>
      </c>
      <c r="K198" s="20" t="s">
        <v>239</v>
      </c>
    </row>
    <row r="199" spans="3:11" x14ac:dyDescent="0.25">
      <c r="C199" s="13" t="s">
        <v>34</v>
      </c>
      <c r="D199" s="8">
        <v>45695</v>
      </c>
      <c r="E199" s="7" t="s">
        <v>22</v>
      </c>
      <c r="F199" s="9">
        <v>0.38958333333333334</v>
      </c>
      <c r="G199" s="9">
        <v>0.95694444444444438</v>
      </c>
      <c r="H199" s="10">
        <f t="shared" si="4"/>
        <v>5.6250000000000022E-2</v>
      </c>
      <c r="I199" s="10">
        <f t="shared" si="5"/>
        <v>0.56736111111111098</v>
      </c>
      <c r="J199" s="35">
        <f>IF($I$11&gt;Table4[[#This Row],[Working Hours]],$F$6-Table4[[#This Row],[Working Hours]],0)</f>
        <v>0</v>
      </c>
      <c r="K199" s="20" t="s">
        <v>239</v>
      </c>
    </row>
    <row r="200" spans="3:11" x14ac:dyDescent="0.25">
      <c r="C200" s="13" t="s">
        <v>34</v>
      </c>
      <c r="D200" s="8">
        <v>45696</v>
      </c>
      <c r="E200" s="7" t="s">
        <v>18</v>
      </c>
      <c r="F200" s="9">
        <v>0.42638888888888887</v>
      </c>
      <c r="G200" s="9">
        <v>0.8618055555555556</v>
      </c>
      <c r="H200" s="10">
        <f t="shared" si="4"/>
        <v>9.3055555555555558E-2</v>
      </c>
      <c r="I200" s="10">
        <f t="shared" si="5"/>
        <v>0.43541666666666673</v>
      </c>
      <c r="J200" s="35">
        <f>IF($I$11&gt;Table4[[#This Row],[Working Hours]],$F$6-Table4[[#This Row],[Working Hours]],0)</f>
        <v>0</v>
      </c>
      <c r="K200" s="20" t="s">
        <v>239</v>
      </c>
    </row>
    <row r="201" spans="3:11" x14ac:dyDescent="0.25">
      <c r="C201" s="13" t="s">
        <v>34</v>
      </c>
      <c r="D201" s="8">
        <v>45697</v>
      </c>
      <c r="E201" s="7" t="s">
        <v>19</v>
      </c>
      <c r="F201" s="9">
        <v>0.32222222222222224</v>
      </c>
      <c r="G201" s="9">
        <v>0.97569444444444453</v>
      </c>
      <c r="H201" s="10">
        <f t="shared" si="4"/>
        <v>0</v>
      </c>
      <c r="I201" s="10">
        <f t="shared" si="5"/>
        <v>0.65347222222222223</v>
      </c>
      <c r="J201" s="35">
        <f>IF($I$11&gt;Table4[[#This Row],[Working Hours]],$F$6-Table4[[#This Row],[Working Hours]],0)</f>
        <v>0</v>
      </c>
      <c r="K201" s="20" t="s">
        <v>239</v>
      </c>
    </row>
    <row r="202" spans="3:11" x14ac:dyDescent="0.25">
      <c r="C202" s="13" t="s">
        <v>34</v>
      </c>
      <c r="D202" s="8">
        <v>45698</v>
      </c>
      <c r="E202" s="7" t="s">
        <v>7</v>
      </c>
      <c r="F202" s="9"/>
      <c r="G202" s="9"/>
      <c r="H202" s="10">
        <f t="shared" si="4"/>
        <v>0</v>
      </c>
      <c r="I202" s="10">
        <f t="shared" si="5"/>
        <v>0</v>
      </c>
      <c r="J202" s="35">
        <f>IF($I$11&gt;Table4[[#This Row],[Working Hours]],$F$6-Table4[[#This Row],[Working Hours]],0)</f>
        <v>0.33333333333333331</v>
      </c>
      <c r="K202" s="20" t="s">
        <v>240</v>
      </c>
    </row>
    <row r="203" spans="3:11" x14ac:dyDescent="0.25">
      <c r="C203" s="13" t="s">
        <v>34</v>
      </c>
      <c r="D203" s="8">
        <v>45699</v>
      </c>
      <c r="E203" s="7" t="s">
        <v>8</v>
      </c>
      <c r="F203" s="9"/>
      <c r="G203" s="9"/>
      <c r="H203" s="10">
        <f t="shared" si="4"/>
        <v>0</v>
      </c>
      <c r="I203" s="10">
        <f t="shared" si="5"/>
        <v>0</v>
      </c>
      <c r="J203" s="35">
        <f>IF($I$11&gt;Table4[[#This Row],[Working Hours]],$F$6-Table4[[#This Row],[Working Hours]],0)</f>
        <v>0.33333333333333331</v>
      </c>
      <c r="K203" s="20" t="s">
        <v>240</v>
      </c>
    </row>
    <row r="204" spans="3:11" x14ac:dyDescent="0.25">
      <c r="C204" s="13" t="s">
        <v>34</v>
      </c>
      <c r="D204" s="8">
        <v>45700</v>
      </c>
      <c r="E204" s="7" t="s">
        <v>20</v>
      </c>
      <c r="F204" s="9">
        <v>0.49027777777777781</v>
      </c>
      <c r="G204" s="9">
        <v>0.97777777777777775</v>
      </c>
      <c r="H204" s="10">
        <f t="shared" ref="H204:H267" si="6">IF($F204&gt;$F$6,$F204-$F$6,0)</f>
        <v>0.1569444444444445</v>
      </c>
      <c r="I204" s="10">
        <f t="shared" ref="I204:I267" si="7">$G204-$F204</f>
        <v>0.48749999999999993</v>
      </c>
      <c r="J204" s="35">
        <f>IF($I$11&gt;Table4[[#This Row],[Working Hours]],$F$6-Table4[[#This Row],[Working Hours]],0)</f>
        <v>0</v>
      </c>
      <c r="K204" s="20" t="s">
        <v>239</v>
      </c>
    </row>
    <row r="205" spans="3:11" x14ac:dyDescent="0.25">
      <c r="C205" s="13" t="s">
        <v>34</v>
      </c>
      <c r="D205" s="8">
        <v>45701</v>
      </c>
      <c r="E205" s="7" t="s">
        <v>21</v>
      </c>
      <c r="F205" s="9">
        <v>0.34236111111111112</v>
      </c>
      <c r="G205" s="9">
        <v>0.85</v>
      </c>
      <c r="H205" s="10">
        <f t="shared" si="6"/>
        <v>9.0277777777778012E-3</v>
      </c>
      <c r="I205" s="10">
        <f t="shared" si="7"/>
        <v>0.50763888888888886</v>
      </c>
      <c r="J205" s="35">
        <f>IF($I$11&gt;Table4[[#This Row],[Working Hours]],$F$6-Table4[[#This Row],[Working Hours]],0)</f>
        <v>0</v>
      </c>
      <c r="K205" s="20" t="s">
        <v>239</v>
      </c>
    </row>
    <row r="206" spans="3:11" x14ac:dyDescent="0.25">
      <c r="C206" s="13" t="s">
        <v>34</v>
      </c>
      <c r="D206" s="8">
        <v>45702</v>
      </c>
      <c r="E206" s="7" t="s">
        <v>22</v>
      </c>
      <c r="F206" s="9">
        <v>0.33402777777777781</v>
      </c>
      <c r="G206" s="9">
        <v>0.99791666666666667</v>
      </c>
      <c r="H206" s="10">
        <f t="shared" si="6"/>
        <v>6.9444444444449749E-4</v>
      </c>
      <c r="I206" s="10">
        <f t="shared" si="7"/>
        <v>0.66388888888888886</v>
      </c>
      <c r="J206" s="35">
        <f>IF($I$11&gt;Table4[[#This Row],[Working Hours]],$F$6-Table4[[#This Row],[Working Hours]],0)</f>
        <v>0</v>
      </c>
      <c r="K206" s="20" t="s">
        <v>239</v>
      </c>
    </row>
    <row r="207" spans="3:11" x14ac:dyDescent="0.25">
      <c r="C207" s="13" t="s">
        <v>34</v>
      </c>
      <c r="D207" s="8">
        <v>45703</v>
      </c>
      <c r="E207" s="7" t="s">
        <v>18</v>
      </c>
      <c r="F207" s="9">
        <v>0.47152777777777777</v>
      </c>
      <c r="G207" s="9">
        <v>0.95694444444444438</v>
      </c>
      <c r="H207" s="10">
        <f t="shared" si="6"/>
        <v>0.13819444444444445</v>
      </c>
      <c r="I207" s="10">
        <f t="shared" si="7"/>
        <v>0.48541666666666661</v>
      </c>
      <c r="J207" s="35">
        <f>IF($I$11&gt;Table4[[#This Row],[Working Hours]],$F$6-Table4[[#This Row],[Working Hours]],0)</f>
        <v>0</v>
      </c>
      <c r="K207" s="20" t="s">
        <v>239</v>
      </c>
    </row>
    <row r="208" spans="3:11" x14ac:dyDescent="0.25">
      <c r="C208" s="13" t="s">
        <v>34</v>
      </c>
      <c r="D208" s="8">
        <v>45704</v>
      </c>
      <c r="E208" s="7" t="s">
        <v>19</v>
      </c>
      <c r="F208" s="9">
        <v>0.4861111111111111</v>
      </c>
      <c r="G208" s="9">
        <v>0.88888888888888884</v>
      </c>
      <c r="H208" s="10">
        <f t="shared" si="6"/>
        <v>0.15277777777777779</v>
      </c>
      <c r="I208" s="10">
        <f t="shared" si="7"/>
        <v>0.40277777777777773</v>
      </c>
      <c r="J208" s="35">
        <f>IF($I$11&gt;Table4[[#This Row],[Working Hours]],$F$6-Table4[[#This Row],[Working Hours]],0)</f>
        <v>0</v>
      </c>
      <c r="K208" s="20" t="s">
        <v>239</v>
      </c>
    </row>
    <row r="209" spans="3:11" x14ac:dyDescent="0.25">
      <c r="C209" s="13" t="s">
        <v>34</v>
      </c>
      <c r="D209" s="8">
        <v>45705</v>
      </c>
      <c r="E209" s="7" t="s">
        <v>7</v>
      </c>
      <c r="F209" s="9"/>
      <c r="G209" s="9"/>
      <c r="H209" s="10">
        <f t="shared" si="6"/>
        <v>0</v>
      </c>
      <c r="I209" s="10">
        <f t="shared" si="7"/>
        <v>0</v>
      </c>
      <c r="J209" s="35">
        <f>IF($I$11&gt;Table4[[#This Row],[Working Hours]],$F$6-Table4[[#This Row],[Working Hours]],0)</f>
        <v>0.33333333333333331</v>
      </c>
      <c r="K209" s="20" t="s">
        <v>240</v>
      </c>
    </row>
    <row r="210" spans="3:11" x14ac:dyDescent="0.25">
      <c r="C210" s="13" t="s">
        <v>34</v>
      </c>
      <c r="D210" s="8">
        <v>45706</v>
      </c>
      <c r="E210" s="7" t="s">
        <v>8</v>
      </c>
      <c r="F210" s="9"/>
      <c r="G210" s="9"/>
      <c r="H210" s="10">
        <f t="shared" si="6"/>
        <v>0</v>
      </c>
      <c r="I210" s="10">
        <f t="shared" si="7"/>
        <v>0</v>
      </c>
      <c r="J210" s="35">
        <f>IF($I$11&gt;Table4[[#This Row],[Working Hours]],$F$6-Table4[[#This Row],[Working Hours]],0)</f>
        <v>0.33333333333333331</v>
      </c>
      <c r="K210" s="20" t="s">
        <v>240</v>
      </c>
    </row>
    <row r="211" spans="3:11" x14ac:dyDescent="0.25">
      <c r="C211" s="13" t="s">
        <v>34</v>
      </c>
      <c r="D211" s="8">
        <v>45707</v>
      </c>
      <c r="E211" s="7" t="s">
        <v>20</v>
      </c>
      <c r="F211" s="9">
        <v>0.46527777777777773</v>
      </c>
      <c r="G211" s="9">
        <v>0.99861111111111101</v>
      </c>
      <c r="H211" s="10">
        <f t="shared" si="6"/>
        <v>0.13194444444444442</v>
      </c>
      <c r="I211" s="10">
        <f t="shared" si="7"/>
        <v>0.53333333333333321</v>
      </c>
      <c r="J211" s="35">
        <f>IF($I$11&gt;Table4[[#This Row],[Working Hours]],$F$6-Table4[[#This Row],[Working Hours]],0)</f>
        <v>0</v>
      </c>
      <c r="K211" s="20" t="s">
        <v>239</v>
      </c>
    </row>
    <row r="212" spans="3:11" x14ac:dyDescent="0.25">
      <c r="C212" s="13" t="s">
        <v>34</v>
      </c>
      <c r="D212" s="8">
        <v>45708</v>
      </c>
      <c r="E212" s="7" t="s">
        <v>21</v>
      </c>
      <c r="F212" s="9">
        <v>0.45624999999999999</v>
      </c>
      <c r="G212" s="9">
        <v>0.85833333333333339</v>
      </c>
      <c r="H212" s="10">
        <f t="shared" si="6"/>
        <v>0.12291666666666667</v>
      </c>
      <c r="I212" s="10">
        <f t="shared" si="7"/>
        <v>0.4020833333333334</v>
      </c>
      <c r="J212" s="35">
        <f>IF($I$11&gt;Table4[[#This Row],[Working Hours]],$F$6-Table4[[#This Row],[Working Hours]],0)</f>
        <v>0</v>
      </c>
      <c r="K212" s="20" t="s">
        <v>239</v>
      </c>
    </row>
    <row r="213" spans="3:11" x14ac:dyDescent="0.25">
      <c r="C213" s="13" t="s">
        <v>34</v>
      </c>
      <c r="D213" s="8">
        <v>45709</v>
      </c>
      <c r="E213" s="7" t="s">
        <v>22</v>
      </c>
      <c r="F213" s="9">
        <v>0.48541666666666666</v>
      </c>
      <c r="G213" s="9">
        <v>0.93958333333333333</v>
      </c>
      <c r="H213" s="10">
        <f t="shared" si="6"/>
        <v>0.15208333333333335</v>
      </c>
      <c r="I213" s="10">
        <f t="shared" si="7"/>
        <v>0.45416666666666666</v>
      </c>
      <c r="J213" s="35">
        <f>IF($I$11&gt;Table4[[#This Row],[Working Hours]],$F$6-Table4[[#This Row],[Working Hours]],0)</f>
        <v>0</v>
      </c>
      <c r="K213" s="20" t="s">
        <v>239</v>
      </c>
    </row>
    <row r="214" spans="3:11" x14ac:dyDescent="0.25">
      <c r="C214" s="13" t="s">
        <v>34</v>
      </c>
      <c r="D214" s="8">
        <v>45710</v>
      </c>
      <c r="E214" s="7" t="s">
        <v>18</v>
      </c>
      <c r="F214" s="9">
        <v>0.41875000000000001</v>
      </c>
      <c r="G214" s="9">
        <v>0.8652777777777777</v>
      </c>
      <c r="H214" s="10">
        <f t="shared" si="6"/>
        <v>8.5416666666666696E-2</v>
      </c>
      <c r="I214" s="10">
        <f t="shared" si="7"/>
        <v>0.44652777777777769</v>
      </c>
      <c r="J214" s="35">
        <f>IF($I$11&gt;Table4[[#This Row],[Working Hours]],$F$6-Table4[[#This Row],[Working Hours]],0)</f>
        <v>0</v>
      </c>
      <c r="K214" s="20" t="s">
        <v>239</v>
      </c>
    </row>
    <row r="215" spans="3:11" x14ac:dyDescent="0.25">
      <c r="C215" s="13" t="s">
        <v>34</v>
      </c>
      <c r="D215" s="8">
        <v>45711</v>
      </c>
      <c r="E215" s="7" t="s">
        <v>19</v>
      </c>
      <c r="F215" s="9">
        <v>0.48472222222222222</v>
      </c>
      <c r="G215" s="9">
        <v>0.89513888888888893</v>
      </c>
      <c r="H215" s="10">
        <f t="shared" si="6"/>
        <v>0.15138888888888891</v>
      </c>
      <c r="I215" s="10">
        <f t="shared" si="7"/>
        <v>0.41041666666666671</v>
      </c>
      <c r="J215" s="35">
        <f>IF($I$11&gt;Table4[[#This Row],[Working Hours]],$F$6-Table4[[#This Row],[Working Hours]],0)</f>
        <v>0</v>
      </c>
      <c r="K215" s="20" t="s">
        <v>239</v>
      </c>
    </row>
    <row r="216" spans="3:11" x14ac:dyDescent="0.25">
      <c r="C216" s="13" t="s">
        <v>34</v>
      </c>
      <c r="D216" s="8">
        <v>45712</v>
      </c>
      <c r="E216" s="7" t="s">
        <v>7</v>
      </c>
      <c r="F216" s="9"/>
      <c r="G216" s="9"/>
      <c r="H216" s="10">
        <f t="shared" si="6"/>
        <v>0</v>
      </c>
      <c r="I216" s="10">
        <f t="shared" si="7"/>
        <v>0</v>
      </c>
      <c r="J216" s="35">
        <f>IF($I$11&gt;Table4[[#This Row],[Working Hours]],$F$6-Table4[[#This Row],[Working Hours]],0)</f>
        <v>0.33333333333333331</v>
      </c>
      <c r="K216" s="20" t="s">
        <v>240</v>
      </c>
    </row>
    <row r="217" spans="3:11" x14ac:dyDescent="0.25">
      <c r="C217" s="13" t="s">
        <v>34</v>
      </c>
      <c r="D217" s="8">
        <v>45713</v>
      </c>
      <c r="E217" s="7" t="s">
        <v>8</v>
      </c>
      <c r="F217" s="9"/>
      <c r="G217" s="9"/>
      <c r="H217" s="10">
        <f t="shared" si="6"/>
        <v>0</v>
      </c>
      <c r="I217" s="10">
        <f t="shared" si="7"/>
        <v>0</v>
      </c>
      <c r="J217" s="35">
        <f>IF($I$11&gt;Table4[[#This Row],[Working Hours]],$F$6-Table4[[#This Row],[Working Hours]],0)</f>
        <v>0.33333333333333331</v>
      </c>
      <c r="K217" s="20" t="s">
        <v>240</v>
      </c>
    </row>
    <row r="218" spans="3:11" x14ac:dyDescent="0.25">
      <c r="C218" s="13" t="s">
        <v>34</v>
      </c>
      <c r="D218" s="8">
        <v>45714</v>
      </c>
      <c r="E218" s="7" t="s">
        <v>20</v>
      </c>
      <c r="F218" s="9">
        <v>0.35486111111111113</v>
      </c>
      <c r="G218" s="9">
        <v>0.84722222222222221</v>
      </c>
      <c r="H218" s="10">
        <f t="shared" si="6"/>
        <v>2.1527777777777812E-2</v>
      </c>
      <c r="I218" s="10">
        <f t="shared" si="7"/>
        <v>0.49236111111111108</v>
      </c>
      <c r="J218" s="35">
        <f>IF($I$11&gt;Table4[[#This Row],[Working Hours]],$F$6-Table4[[#This Row],[Working Hours]],0)</f>
        <v>0</v>
      </c>
      <c r="K218" s="20" t="s">
        <v>239</v>
      </c>
    </row>
    <row r="219" spans="3:11" x14ac:dyDescent="0.25">
      <c r="C219" s="13" t="s">
        <v>34</v>
      </c>
      <c r="D219" s="8">
        <v>45715</v>
      </c>
      <c r="E219" s="7" t="s">
        <v>21</v>
      </c>
      <c r="F219" s="9">
        <v>0.4604166666666667</v>
      </c>
      <c r="G219" s="9">
        <v>0.8534722222222223</v>
      </c>
      <c r="H219" s="10">
        <f t="shared" si="6"/>
        <v>0.12708333333333338</v>
      </c>
      <c r="I219" s="10">
        <f t="shared" si="7"/>
        <v>0.3930555555555556</v>
      </c>
      <c r="J219" s="35">
        <f>IF($I$11&gt;Table4[[#This Row],[Working Hours]],$F$6-Table4[[#This Row],[Working Hours]],0)</f>
        <v>0</v>
      </c>
      <c r="K219" s="20" t="s">
        <v>239</v>
      </c>
    </row>
    <row r="220" spans="3:11" x14ac:dyDescent="0.25">
      <c r="C220" s="13" t="s">
        <v>34</v>
      </c>
      <c r="D220" s="8">
        <v>45716</v>
      </c>
      <c r="E220" s="7" t="s">
        <v>22</v>
      </c>
      <c r="F220" s="9">
        <v>0.4465277777777778</v>
      </c>
      <c r="G220" s="9">
        <v>0.90069444444444446</v>
      </c>
      <c r="H220" s="10">
        <f t="shared" si="6"/>
        <v>0.11319444444444449</v>
      </c>
      <c r="I220" s="10">
        <f t="shared" si="7"/>
        <v>0.45416666666666666</v>
      </c>
      <c r="J220" s="35">
        <f>IF($I$11&gt;Table4[[#This Row],[Working Hours]],$F$6-Table4[[#This Row],[Working Hours]],0)</f>
        <v>0</v>
      </c>
      <c r="K220" s="20" t="s">
        <v>239</v>
      </c>
    </row>
    <row r="221" spans="3:11" x14ac:dyDescent="0.25">
      <c r="C221" s="13" t="s">
        <v>34</v>
      </c>
      <c r="D221" s="8">
        <v>45717</v>
      </c>
      <c r="E221" s="7" t="s">
        <v>18</v>
      </c>
      <c r="F221" s="9"/>
      <c r="G221" s="9"/>
      <c r="H221" s="10">
        <f t="shared" si="6"/>
        <v>0</v>
      </c>
      <c r="I221" s="10">
        <f t="shared" si="7"/>
        <v>0</v>
      </c>
      <c r="J221" s="35">
        <f>IF($I$11&gt;Table4[[#This Row],[Working Hours]],$F$6-Table4[[#This Row],[Working Hours]],0)</f>
        <v>0.33333333333333331</v>
      </c>
      <c r="K221" s="20" t="s">
        <v>238</v>
      </c>
    </row>
    <row r="222" spans="3:11" x14ac:dyDescent="0.25">
      <c r="C222" s="13" t="s">
        <v>34</v>
      </c>
      <c r="D222" s="8">
        <v>45718</v>
      </c>
      <c r="E222" s="7" t="s">
        <v>19</v>
      </c>
      <c r="F222" s="9">
        <v>0.41388888888888892</v>
      </c>
      <c r="G222" s="9">
        <v>0.90763888888888899</v>
      </c>
      <c r="H222" s="10">
        <f t="shared" si="6"/>
        <v>8.0555555555555602E-2</v>
      </c>
      <c r="I222" s="10">
        <f t="shared" si="7"/>
        <v>0.49375000000000008</v>
      </c>
      <c r="J222" s="35">
        <f>IF($I$11&gt;Table4[[#This Row],[Working Hours]],$F$6-Table4[[#This Row],[Working Hours]],0)</f>
        <v>0</v>
      </c>
      <c r="K222" s="20" t="s">
        <v>239</v>
      </c>
    </row>
    <row r="223" spans="3:11" x14ac:dyDescent="0.25">
      <c r="C223" s="13" t="s">
        <v>34</v>
      </c>
      <c r="D223" s="8">
        <v>45719</v>
      </c>
      <c r="E223" s="7" t="s">
        <v>7</v>
      </c>
      <c r="F223" s="9"/>
      <c r="G223" s="9"/>
      <c r="H223" s="10">
        <f t="shared" si="6"/>
        <v>0</v>
      </c>
      <c r="I223" s="10">
        <f t="shared" si="7"/>
        <v>0</v>
      </c>
      <c r="J223" s="35">
        <f>IF($I$11&gt;Table4[[#This Row],[Working Hours]],$F$6-Table4[[#This Row],[Working Hours]],0)</f>
        <v>0.33333333333333331</v>
      </c>
      <c r="K223" s="20" t="s">
        <v>240</v>
      </c>
    </row>
    <row r="224" spans="3:11" x14ac:dyDescent="0.25">
      <c r="C224" s="13" t="s">
        <v>34</v>
      </c>
      <c r="D224" s="8">
        <v>45720</v>
      </c>
      <c r="E224" s="7" t="s">
        <v>8</v>
      </c>
      <c r="F224" s="9"/>
      <c r="G224" s="9"/>
      <c r="H224" s="10">
        <f t="shared" si="6"/>
        <v>0</v>
      </c>
      <c r="I224" s="10">
        <f t="shared" si="7"/>
        <v>0</v>
      </c>
      <c r="J224" s="35">
        <f>IF($I$11&gt;Table4[[#This Row],[Working Hours]],$F$6-Table4[[#This Row],[Working Hours]],0)</f>
        <v>0.33333333333333331</v>
      </c>
      <c r="K224" s="20" t="s">
        <v>240</v>
      </c>
    </row>
    <row r="225" spans="3:11" x14ac:dyDescent="0.25">
      <c r="C225" s="13" t="s">
        <v>34</v>
      </c>
      <c r="D225" s="8">
        <v>45721</v>
      </c>
      <c r="E225" s="7" t="s">
        <v>20</v>
      </c>
      <c r="F225" s="9">
        <v>0.47083333333333338</v>
      </c>
      <c r="G225" s="9">
        <v>0.91388888888888886</v>
      </c>
      <c r="H225" s="10">
        <f t="shared" si="6"/>
        <v>0.13750000000000007</v>
      </c>
      <c r="I225" s="10">
        <f t="shared" si="7"/>
        <v>0.44305555555555548</v>
      </c>
      <c r="J225" s="35">
        <f>IF($I$11&gt;Table4[[#This Row],[Working Hours]],$F$6-Table4[[#This Row],[Working Hours]],0)</f>
        <v>0</v>
      </c>
      <c r="K225" s="20" t="s">
        <v>239</v>
      </c>
    </row>
    <row r="226" spans="3:11" x14ac:dyDescent="0.25">
      <c r="C226" s="13" t="s">
        <v>34</v>
      </c>
      <c r="D226" s="8">
        <v>45722</v>
      </c>
      <c r="E226" s="7" t="s">
        <v>21</v>
      </c>
      <c r="F226" s="9">
        <v>0.43402777777777773</v>
      </c>
      <c r="G226" s="9">
        <v>0.91041666666666676</v>
      </c>
      <c r="H226" s="10">
        <f t="shared" si="6"/>
        <v>0.10069444444444442</v>
      </c>
      <c r="I226" s="10">
        <f t="shared" si="7"/>
        <v>0.47638888888888903</v>
      </c>
      <c r="J226" s="35">
        <f>IF($I$11&gt;Table4[[#This Row],[Working Hours]],$F$6-Table4[[#This Row],[Working Hours]],0)</f>
        <v>0</v>
      </c>
      <c r="K226" s="20" t="s">
        <v>239</v>
      </c>
    </row>
    <row r="227" spans="3:11" x14ac:dyDescent="0.25">
      <c r="C227" s="13" t="s">
        <v>34</v>
      </c>
      <c r="D227" s="8">
        <v>45723</v>
      </c>
      <c r="E227" s="7" t="s">
        <v>22</v>
      </c>
      <c r="F227" s="9">
        <v>0.37986111111111115</v>
      </c>
      <c r="G227" s="9">
        <v>0.91319444444444453</v>
      </c>
      <c r="H227" s="10">
        <f t="shared" si="6"/>
        <v>4.6527777777777835E-2</v>
      </c>
      <c r="I227" s="10">
        <f t="shared" si="7"/>
        <v>0.53333333333333344</v>
      </c>
      <c r="J227" s="35">
        <f>IF($I$11&gt;Table4[[#This Row],[Working Hours]],$F$6-Table4[[#This Row],[Working Hours]],0)</f>
        <v>0</v>
      </c>
      <c r="K227" s="20" t="s">
        <v>239</v>
      </c>
    </row>
    <row r="228" spans="3:11" x14ac:dyDescent="0.25">
      <c r="C228" s="13" t="s">
        <v>34</v>
      </c>
      <c r="D228" s="8">
        <v>45724</v>
      </c>
      <c r="E228" s="7" t="s">
        <v>18</v>
      </c>
      <c r="F228" s="9">
        <v>0.47916666666666669</v>
      </c>
      <c r="G228" s="9">
        <v>0.97152777777777777</v>
      </c>
      <c r="H228" s="10">
        <f t="shared" si="6"/>
        <v>0.14583333333333337</v>
      </c>
      <c r="I228" s="10">
        <f t="shared" si="7"/>
        <v>0.49236111111111108</v>
      </c>
      <c r="J228" s="35">
        <f>IF($I$11&gt;Table4[[#This Row],[Working Hours]],$F$6-Table4[[#This Row],[Working Hours]],0)</f>
        <v>0</v>
      </c>
      <c r="K228" s="20" t="s">
        <v>239</v>
      </c>
    </row>
    <row r="229" spans="3:11" x14ac:dyDescent="0.25">
      <c r="C229" s="13" t="s">
        <v>34</v>
      </c>
      <c r="D229" s="8">
        <v>45725</v>
      </c>
      <c r="E229" s="7" t="s">
        <v>19</v>
      </c>
      <c r="F229" s="9">
        <v>0.33611111111111108</v>
      </c>
      <c r="G229" s="9">
        <v>0.85069444444444453</v>
      </c>
      <c r="H229" s="10">
        <f t="shared" si="6"/>
        <v>2.7777777777777679E-3</v>
      </c>
      <c r="I229" s="10">
        <f t="shared" si="7"/>
        <v>0.51458333333333339</v>
      </c>
      <c r="J229" s="35">
        <f>IF($I$11&gt;Table4[[#This Row],[Working Hours]],$F$6-Table4[[#This Row],[Working Hours]],0)</f>
        <v>0</v>
      </c>
      <c r="K229" s="20" t="s">
        <v>239</v>
      </c>
    </row>
    <row r="230" spans="3:11" x14ac:dyDescent="0.25">
      <c r="C230" s="13" t="s">
        <v>34</v>
      </c>
      <c r="D230" s="8">
        <v>45726</v>
      </c>
      <c r="E230" s="7" t="s">
        <v>7</v>
      </c>
      <c r="F230" s="9"/>
      <c r="G230" s="9"/>
      <c r="H230" s="10">
        <f t="shared" si="6"/>
        <v>0</v>
      </c>
      <c r="I230" s="10">
        <f t="shared" si="7"/>
        <v>0</v>
      </c>
      <c r="J230" s="35">
        <f>IF($I$11&gt;Table4[[#This Row],[Working Hours]],$F$6-Table4[[#This Row],[Working Hours]],0)</f>
        <v>0.33333333333333331</v>
      </c>
      <c r="K230" s="20" t="s">
        <v>240</v>
      </c>
    </row>
    <row r="231" spans="3:11" x14ac:dyDescent="0.25">
      <c r="C231" s="13" t="s">
        <v>34</v>
      </c>
      <c r="D231" s="8">
        <v>45727</v>
      </c>
      <c r="E231" s="7" t="s">
        <v>8</v>
      </c>
      <c r="F231" s="9"/>
      <c r="G231" s="9"/>
      <c r="H231" s="10">
        <f t="shared" si="6"/>
        <v>0</v>
      </c>
      <c r="I231" s="10">
        <f t="shared" si="7"/>
        <v>0</v>
      </c>
      <c r="J231" s="35">
        <f>IF($I$11&gt;Table4[[#This Row],[Working Hours]],$F$6-Table4[[#This Row],[Working Hours]],0)</f>
        <v>0.33333333333333331</v>
      </c>
      <c r="K231" s="20" t="s">
        <v>240</v>
      </c>
    </row>
    <row r="232" spans="3:11" x14ac:dyDescent="0.25">
      <c r="C232" s="13" t="s">
        <v>34</v>
      </c>
      <c r="D232" s="8">
        <v>45728</v>
      </c>
      <c r="E232" s="7" t="s">
        <v>20</v>
      </c>
      <c r="F232" s="9">
        <v>0.30624999999999997</v>
      </c>
      <c r="G232" s="9">
        <v>0.8930555555555556</v>
      </c>
      <c r="H232" s="10">
        <f t="shared" si="6"/>
        <v>0</v>
      </c>
      <c r="I232" s="10">
        <f t="shared" si="7"/>
        <v>0.58680555555555558</v>
      </c>
      <c r="J232" s="35">
        <f>IF($I$11&gt;Table4[[#This Row],[Working Hours]],$F$6-Table4[[#This Row],[Working Hours]],0)</f>
        <v>0</v>
      </c>
      <c r="K232" s="20" t="s">
        <v>239</v>
      </c>
    </row>
    <row r="233" spans="3:11" x14ac:dyDescent="0.25">
      <c r="C233" s="13" t="s">
        <v>34</v>
      </c>
      <c r="D233" s="8">
        <v>45729</v>
      </c>
      <c r="E233" s="7" t="s">
        <v>21</v>
      </c>
      <c r="F233" s="9">
        <v>0.30624999999999997</v>
      </c>
      <c r="G233" s="9">
        <v>0.91527777777777775</v>
      </c>
      <c r="H233" s="10">
        <f t="shared" si="6"/>
        <v>0</v>
      </c>
      <c r="I233" s="10">
        <f t="shared" si="7"/>
        <v>0.60902777777777772</v>
      </c>
      <c r="J233" s="35">
        <f>IF($I$11&gt;Table4[[#This Row],[Working Hours]],$F$6-Table4[[#This Row],[Working Hours]],0)</f>
        <v>0</v>
      </c>
      <c r="K233" s="20" t="s">
        <v>239</v>
      </c>
    </row>
    <row r="234" spans="3:11" x14ac:dyDescent="0.25">
      <c r="C234" s="13" t="s">
        <v>34</v>
      </c>
      <c r="D234" s="8">
        <v>45730</v>
      </c>
      <c r="E234" s="7" t="s">
        <v>22</v>
      </c>
      <c r="F234" s="9"/>
      <c r="G234" s="9"/>
      <c r="H234" s="10">
        <f t="shared" si="6"/>
        <v>0</v>
      </c>
      <c r="I234" s="10">
        <f t="shared" si="7"/>
        <v>0</v>
      </c>
      <c r="J234" s="35">
        <f>IF($I$11&gt;Table4[[#This Row],[Working Hours]],$F$6-Table4[[#This Row],[Working Hours]],0)</f>
        <v>0.33333333333333331</v>
      </c>
      <c r="K234" s="20" t="s">
        <v>70</v>
      </c>
    </row>
    <row r="235" spans="3:11" x14ac:dyDescent="0.25">
      <c r="C235" s="13" t="s">
        <v>34</v>
      </c>
      <c r="D235" s="8">
        <v>45731</v>
      </c>
      <c r="E235" s="7" t="s">
        <v>18</v>
      </c>
      <c r="F235" s="9">
        <v>0.35625000000000001</v>
      </c>
      <c r="G235" s="9">
        <v>0.91388888888888886</v>
      </c>
      <c r="H235" s="10">
        <f t="shared" si="6"/>
        <v>2.2916666666666696E-2</v>
      </c>
      <c r="I235" s="10">
        <f t="shared" si="7"/>
        <v>0.5576388888888888</v>
      </c>
      <c r="J235" s="35">
        <f>IF($I$11&gt;Table4[[#This Row],[Working Hours]],$F$6-Table4[[#This Row],[Working Hours]],0)</f>
        <v>0</v>
      </c>
      <c r="K235" s="20" t="s">
        <v>239</v>
      </c>
    </row>
    <row r="236" spans="3:11" x14ac:dyDescent="0.25">
      <c r="C236" s="13" t="s">
        <v>34</v>
      </c>
      <c r="D236" s="8">
        <v>45732</v>
      </c>
      <c r="E236" s="7" t="s">
        <v>19</v>
      </c>
      <c r="F236" s="9">
        <v>0.49027777777777781</v>
      </c>
      <c r="G236" s="9">
        <v>0.92708333333333337</v>
      </c>
      <c r="H236" s="10">
        <f t="shared" si="6"/>
        <v>0.1569444444444445</v>
      </c>
      <c r="I236" s="10">
        <f t="shared" si="7"/>
        <v>0.43680555555555556</v>
      </c>
      <c r="J236" s="35">
        <f>IF($I$11&gt;Table4[[#This Row],[Working Hours]],$F$6-Table4[[#This Row],[Working Hours]],0)</f>
        <v>0</v>
      </c>
      <c r="K236" s="20" t="s">
        <v>239</v>
      </c>
    </row>
    <row r="237" spans="3:11" x14ac:dyDescent="0.25">
      <c r="C237" s="13" t="s">
        <v>34</v>
      </c>
      <c r="D237" s="8">
        <v>45733</v>
      </c>
      <c r="E237" s="7" t="s">
        <v>7</v>
      </c>
      <c r="F237" s="9"/>
      <c r="G237" s="9"/>
      <c r="H237" s="10">
        <f t="shared" si="6"/>
        <v>0</v>
      </c>
      <c r="I237" s="10">
        <f t="shared" si="7"/>
        <v>0</v>
      </c>
      <c r="J237" s="35">
        <f>IF($I$11&gt;Table4[[#This Row],[Working Hours]],$F$6-Table4[[#This Row],[Working Hours]],0)</f>
        <v>0.33333333333333331</v>
      </c>
      <c r="K237" s="20" t="s">
        <v>240</v>
      </c>
    </row>
    <row r="238" spans="3:11" x14ac:dyDescent="0.25">
      <c r="C238" s="13" t="s">
        <v>34</v>
      </c>
      <c r="D238" s="8">
        <v>45734</v>
      </c>
      <c r="E238" s="7" t="s">
        <v>8</v>
      </c>
      <c r="F238" s="9"/>
      <c r="G238" s="9"/>
      <c r="H238" s="10">
        <f t="shared" si="6"/>
        <v>0</v>
      </c>
      <c r="I238" s="10">
        <f t="shared" si="7"/>
        <v>0</v>
      </c>
      <c r="J238" s="35">
        <f>IF($I$11&gt;Table4[[#This Row],[Working Hours]],$F$6-Table4[[#This Row],[Working Hours]],0)</f>
        <v>0.33333333333333331</v>
      </c>
      <c r="K238" s="20" t="s">
        <v>240</v>
      </c>
    </row>
    <row r="239" spans="3:11" x14ac:dyDescent="0.25">
      <c r="C239" s="13" t="s">
        <v>34</v>
      </c>
      <c r="D239" s="8">
        <v>45735</v>
      </c>
      <c r="E239" s="7" t="s">
        <v>20</v>
      </c>
      <c r="F239" s="9">
        <v>0.39444444444444443</v>
      </c>
      <c r="G239" s="9">
        <v>0.92986111111111114</v>
      </c>
      <c r="H239" s="10">
        <f t="shared" si="6"/>
        <v>6.1111111111111116E-2</v>
      </c>
      <c r="I239" s="10">
        <f t="shared" si="7"/>
        <v>0.53541666666666665</v>
      </c>
      <c r="J239" s="35">
        <f>IF($I$11&gt;Table4[[#This Row],[Working Hours]],$F$6-Table4[[#This Row],[Working Hours]],0)</f>
        <v>0</v>
      </c>
      <c r="K239" s="20" t="s">
        <v>239</v>
      </c>
    </row>
    <row r="240" spans="3:11" x14ac:dyDescent="0.25">
      <c r="C240" s="13" t="s">
        <v>34</v>
      </c>
      <c r="D240" s="8">
        <v>45736</v>
      </c>
      <c r="E240" s="7" t="s">
        <v>21</v>
      </c>
      <c r="F240" s="9">
        <v>0.45902777777777781</v>
      </c>
      <c r="G240" s="9">
        <v>0.9868055555555556</v>
      </c>
      <c r="H240" s="10">
        <f t="shared" si="6"/>
        <v>0.1256944444444445</v>
      </c>
      <c r="I240" s="10">
        <f t="shared" si="7"/>
        <v>0.52777777777777779</v>
      </c>
      <c r="J240" s="35">
        <f>IF($I$11&gt;Table4[[#This Row],[Working Hours]],$F$6-Table4[[#This Row],[Working Hours]],0)</f>
        <v>0</v>
      </c>
      <c r="K240" s="20" t="s">
        <v>239</v>
      </c>
    </row>
    <row r="241" spans="3:11" x14ac:dyDescent="0.25">
      <c r="C241" s="13" t="s">
        <v>34</v>
      </c>
      <c r="D241" s="8">
        <v>45737</v>
      </c>
      <c r="E241" s="7" t="s">
        <v>22</v>
      </c>
      <c r="F241" s="9">
        <v>0.30069444444444443</v>
      </c>
      <c r="G241" s="9">
        <v>0.97291666666666676</v>
      </c>
      <c r="H241" s="10">
        <f t="shared" si="6"/>
        <v>0</v>
      </c>
      <c r="I241" s="10">
        <f t="shared" si="7"/>
        <v>0.67222222222222228</v>
      </c>
      <c r="J241" s="35">
        <f>IF($I$11&gt;Table4[[#This Row],[Working Hours]],$F$6-Table4[[#This Row],[Working Hours]],0)</f>
        <v>0</v>
      </c>
      <c r="K241" s="20" t="s">
        <v>239</v>
      </c>
    </row>
    <row r="242" spans="3:11" x14ac:dyDescent="0.25">
      <c r="C242" s="13" t="s">
        <v>34</v>
      </c>
      <c r="D242" s="8">
        <v>45738</v>
      </c>
      <c r="E242" s="7" t="s">
        <v>18</v>
      </c>
      <c r="F242" s="9">
        <v>0.42499999999999999</v>
      </c>
      <c r="G242" s="9">
        <v>0.97569444444444453</v>
      </c>
      <c r="H242" s="10">
        <f t="shared" si="6"/>
        <v>9.1666666666666674E-2</v>
      </c>
      <c r="I242" s="10">
        <f t="shared" si="7"/>
        <v>0.5506944444444446</v>
      </c>
      <c r="J242" s="35">
        <f>IF($I$11&gt;Table4[[#This Row],[Working Hours]],$F$6-Table4[[#This Row],[Working Hours]],0)</f>
        <v>0</v>
      </c>
      <c r="K242" s="20" t="s">
        <v>239</v>
      </c>
    </row>
    <row r="243" spans="3:11" x14ac:dyDescent="0.25">
      <c r="C243" s="13" t="s">
        <v>34</v>
      </c>
      <c r="D243" s="8">
        <v>45739</v>
      </c>
      <c r="E243" s="7" t="s">
        <v>19</v>
      </c>
      <c r="F243" s="9">
        <v>0.44097222222222227</v>
      </c>
      <c r="G243" s="9">
        <v>0.99236111111111114</v>
      </c>
      <c r="H243" s="10">
        <f t="shared" si="6"/>
        <v>0.10763888888888895</v>
      </c>
      <c r="I243" s="10">
        <f t="shared" si="7"/>
        <v>0.55138888888888893</v>
      </c>
      <c r="J243" s="35">
        <f>IF($I$11&gt;Table4[[#This Row],[Working Hours]],$F$6-Table4[[#This Row],[Working Hours]],0)</f>
        <v>0</v>
      </c>
      <c r="K243" s="20" t="s">
        <v>239</v>
      </c>
    </row>
    <row r="244" spans="3:11" x14ac:dyDescent="0.25">
      <c r="C244" s="13" t="s">
        <v>34</v>
      </c>
      <c r="D244" s="8">
        <v>45740</v>
      </c>
      <c r="E244" s="7" t="s">
        <v>7</v>
      </c>
      <c r="F244" s="9"/>
      <c r="G244" s="9"/>
      <c r="H244" s="10">
        <f t="shared" si="6"/>
        <v>0</v>
      </c>
      <c r="I244" s="10">
        <f t="shared" si="7"/>
        <v>0</v>
      </c>
      <c r="J244" s="35">
        <f>IF($I$11&gt;Table4[[#This Row],[Working Hours]],$F$6-Table4[[#This Row],[Working Hours]],0)</f>
        <v>0.33333333333333331</v>
      </c>
      <c r="K244" s="20" t="s">
        <v>240</v>
      </c>
    </row>
    <row r="245" spans="3:11" x14ac:dyDescent="0.25">
      <c r="C245" s="13" t="s">
        <v>34</v>
      </c>
      <c r="D245" s="8">
        <v>45741</v>
      </c>
      <c r="E245" s="7" t="s">
        <v>8</v>
      </c>
      <c r="F245" s="9"/>
      <c r="G245" s="9"/>
      <c r="H245" s="10">
        <f t="shared" si="6"/>
        <v>0</v>
      </c>
      <c r="I245" s="10">
        <f t="shared" si="7"/>
        <v>0</v>
      </c>
      <c r="J245" s="35">
        <f>IF($I$11&gt;Table4[[#This Row],[Working Hours]],$F$6-Table4[[#This Row],[Working Hours]],0)</f>
        <v>0.33333333333333331</v>
      </c>
      <c r="K245" s="20" t="s">
        <v>240</v>
      </c>
    </row>
    <row r="246" spans="3:11" x14ac:dyDescent="0.25">
      <c r="C246" s="13" t="s">
        <v>34</v>
      </c>
      <c r="D246" s="8">
        <v>45742</v>
      </c>
      <c r="E246" s="7" t="s">
        <v>20</v>
      </c>
      <c r="F246" s="9">
        <v>0.42638888888888887</v>
      </c>
      <c r="G246" s="9">
        <v>0.98055555555555562</v>
      </c>
      <c r="H246" s="10">
        <f t="shared" si="6"/>
        <v>9.3055555555555558E-2</v>
      </c>
      <c r="I246" s="10">
        <f t="shared" si="7"/>
        <v>0.5541666666666667</v>
      </c>
      <c r="J246" s="35">
        <f>IF($I$11&gt;Table4[[#This Row],[Working Hours]],$F$6-Table4[[#This Row],[Working Hours]],0)</f>
        <v>0</v>
      </c>
      <c r="K246" s="20" t="s">
        <v>239</v>
      </c>
    </row>
    <row r="247" spans="3:11" x14ac:dyDescent="0.25">
      <c r="C247" s="13" t="s">
        <v>34</v>
      </c>
      <c r="D247" s="8">
        <v>45743</v>
      </c>
      <c r="E247" s="7" t="s">
        <v>21</v>
      </c>
      <c r="F247" s="9">
        <v>0.30694444444444441</v>
      </c>
      <c r="G247" s="9">
        <v>0.86111111111111116</v>
      </c>
      <c r="H247" s="10">
        <f t="shared" si="6"/>
        <v>0</v>
      </c>
      <c r="I247" s="10">
        <f t="shared" si="7"/>
        <v>0.5541666666666667</v>
      </c>
      <c r="J247" s="35">
        <f>IF($I$11&gt;Table4[[#This Row],[Working Hours]],$F$6-Table4[[#This Row],[Working Hours]],0)</f>
        <v>0</v>
      </c>
      <c r="K247" s="20" t="s">
        <v>239</v>
      </c>
    </row>
    <row r="248" spans="3:11" x14ac:dyDescent="0.25">
      <c r="C248" s="13" t="s">
        <v>34</v>
      </c>
      <c r="D248" s="8">
        <v>45744</v>
      </c>
      <c r="E248" s="7" t="s">
        <v>22</v>
      </c>
      <c r="F248" s="9">
        <v>0.43124999999999997</v>
      </c>
      <c r="G248" s="9">
        <v>0.90972222222222221</v>
      </c>
      <c r="H248" s="10">
        <f t="shared" si="6"/>
        <v>9.7916666666666652E-2</v>
      </c>
      <c r="I248" s="10">
        <f t="shared" si="7"/>
        <v>0.47847222222222224</v>
      </c>
      <c r="J248" s="35">
        <f>IF($I$11&gt;Table4[[#This Row],[Working Hours]],$F$6-Table4[[#This Row],[Working Hours]],0)</f>
        <v>0</v>
      </c>
      <c r="K248" s="20" t="s">
        <v>239</v>
      </c>
    </row>
    <row r="249" spans="3:11" x14ac:dyDescent="0.25">
      <c r="C249" s="13" t="s">
        <v>34</v>
      </c>
      <c r="D249" s="8">
        <v>45745</v>
      </c>
      <c r="E249" s="7" t="s">
        <v>18</v>
      </c>
      <c r="F249" s="9">
        <v>0.31180555555555556</v>
      </c>
      <c r="G249" s="9">
        <v>0.9291666666666667</v>
      </c>
      <c r="H249" s="10">
        <f t="shared" si="6"/>
        <v>0</v>
      </c>
      <c r="I249" s="10">
        <f t="shared" si="7"/>
        <v>0.61736111111111114</v>
      </c>
      <c r="J249" s="35">
        <f>IF($I$11&gt;Table4[[#This Row],[Working Hours]],$F$6-Table4[[#This Row],[Working Hours]],0)</f>
        <v>0</v>
      </c>
      <c r="K249" s="20" t="s">
        <v>239</v>
      </c>
    </row>
    <row r="250" spans="3:11" x14ac:dyDescent="0.25">
      <c r="C250" s="13" t="s">
        <v>34</v>
      </c>
      <c r="D250" s="8">
        <v>45746</v>
      </c>
      <c r="E250" s="7" t="s">
        <v>19</v>
      </c>
      <c r="F250" s="9">
        <v>0.31388888888888888</v>
      </c>
      <c r="G250" s="9">
        <v>0.94374999999999998</v>
      </c>
      <c r="H250" s="10">
        <f t="shared" si="6"/>
        <v>0</v>
      </c>
      <c r="I250" s="10">
        <f t="shared" si="7"/>
        <v>0.62986111111111109</v>
      </c>
      <c r="J250" s="35">
        <f>IF($I$11&gt;Table4[[#This Row],[Working Hours]],$F$6-Table4[[#This Row],[Working Hours]],0)</f>
        <v>0</v>
      </c>
      <c r="K250" s="20" t="s">
        <v>239</v>
      </c>
    </row>
    <row r="251" spans="3:11" x14ac:dyDescent="0.25">
      <c r="C251" s="13" t="s">
        <v>34</v>
      </c>
      <c r="D251" s="8">
        <v>45747</v>
      </c>
      <c r="E251" s="7" t="s">
        <v>7</v>
      </c>
      <c r="F251" s="9"/>
      <c r="G251" s="9"/>
      <c r="H251" s="10">
        <f t="shared" si="6"/>
        <v>0</v>
      </c>
      <c r="I251" s="10">
        <f t="shared" si="7"/>
        <v>0</v>
      </c>
      <c r="J251" s="35">
        <f>IF($I$11&gt;Table4[[#This Row],[Working Hours]],$F$6-Table4[[#This Row],[Working Hours]],0)</f>
        <v>0.33333333333333331</v>
      </c>
      <c r="K251" s="20" t="s">
        <v>240</v>
      </c>
    </row>
    <row r="252" spans="3:11" x14ac:dyDescent="0.25">
      <c r="C252" s="13" t="s">
        <v>34</v>
      </c>
      <c r="D252" s="8">
        <v>45748</v>
      </c>
      <c r="E252" s="7" t="s">
        <v>8</v>
      </c>
      <c r="F252" s="9"/>
      <c r="G252" s="9"/>
      <c r="H252" s="10">
        <f t="shared" si="6"/>
        <v>0</v>
      </c>
      <c r="I252" s="10">
        <f t="shared" si="7"/>
        <v>0</v>
      </c>
      <c r="J252" s="35">
        <f>IF($I$11&gt;Table4[[#This Row],[Working Hours]],$F$6-Table4[[#This Row],[Working Hours]],0)</f>
        <v>0.33333333333333331</v>
      </c>
      <c r="K252" s="20" t="s">
        <v>240</v>
      </c>
    </row>
    <row r="253" spans="3:11" x14ac:dyDescent="0.25">
      <c r="C253" s="13" t="s">
        <v>34</v>
      </c>
      <c r="D253" s="8">
        <v>45749</v>
      </c>
      <c r="E253" s="7" t="s">
        <v>20</v>
      </c>
      <c r="F253" s="9">
        <v>0.38055555555555554</v>
      </c>
      <c r="G253" s="9">
        <v>0.89861111111111114</v>
      </c>
      <c r="H253" s="10">
        <f t="shared" si="6"/>
        <v>4.7222222222222221E-2</v>
      </c>
      <c r="I253" s="10">
        <f t="shared" si="7"/>
        <v>0.5180555555555556</v>
      </c>
      <c r="J253" s="35">
        <f>IF($I$11&gt;Table4[[#This Row],[Working Hours]],$F$6-Table4[[#This Row],[Working Hours]],0)</f>
        <v>0</v>
      </c>
      <c r="K253" s="20" t="s">
        <v>239</v>
      </c>
    </row>
    <row r="254" spans="3:11" x14ac:dyDescent="0.25">
      <c r="C254" s="13" t="s">
        <v>34</v>
      </c>
      <c r="D254" s="8">
        <v>45750</v>
      </c>
      <c r="E254" s="7" t="s">
        <v>21</v>
      </c>
      <c r="F254" s="9">
        <v>0.31666666666666665</v>
      </c>
      <c r="G254" s="9">
        <v>0.99236111111111114</v>
      </c>
      <c r="H254" s="10">
        <f t="shared" si="6"/>
        <v>0</v>
      </c>
      <c r="I254" s="10">
        <f t="shared" si="7"/>
        <v>0.67569444444444449</v>
      </c>
      <c r="J254" s="35">
        <f>IF($I$11&gt;Table4[[#This Row],[Working Hours]],$F$6-Table4[[#This Row],[Working Hours]],0)</f>
        <v>0</v>
      </c>
      <c r="K254" s="20" t="s">
        <v>239</v>
      </c>
    </row>
    <row r="255" spans="3:11" x14ac:dyDescent="0.25">
      <c r="C255" s="13" t="s">
        <v>34</v>
      </c>
      <c r="D255" s="8">
        <v>45751</v>
      </c>
      <c r="E255" s="7" t="s">
        <v>22</v>
      </c>
      <c r="F255" s="9">
        <v>0.30138888888888887</v>
      </c>
      <c r="G255" s="9">
        <v>0.97638888888888886</v>
      </c>
      <c r="H255" s="10">
        <f t="shared" si="6"/>
        <v>0</v>
      </c>
      <c r="I255" s="10">
        <f t="shared" si="7"/>
        <v>0.67500000000000004</v>
      </c>
      <c r="J255" s="35">
        <f>IF($I$11&gt;Table4[[#This Row],[Working Hours]],$F$6-Table4[[#This Row],[Working Hours]],0)</f>
        <v>0</v>
      </c>
      <c r="K255" s="20" t="s">
        <v>239</v>
      </c>
    </row>
    <row r="256" spans="3:11" x14ac:dyDescent="0.25">
      <c r="C256" s="13" t="s">
        <v>34</v>
      </c>
      <c r="D256" s="8">
        <v>45752</v>
      </c>
      <c r="E256" s="7" t="s">
        <v>18</v>
      </c>
      <c r="F256" s="9">
        <v>0.45555555555555555</v>
      </c>
      <c r="G256" s="9">
        <v>0.99791666666666667</v>
      </c>
      <c r="H256" s="10">
        <f t="shared" si="6"/>
        <v>0.12222222222222223</v>
      </c>
      <c r="I256" s="10">
        <f t="shared" si="7"/>
        <v>0.54236111111111107</v>
      </c>
      <c r="J256" s="35">
        <f>IF($I$11&gt;Table4[[#This Row],[Working Hours]],$F$6-Table4[[#This Row],[Working Hours]],0)</f>
        <v>0</v>
      </c>
      <c r="K256" s="20" t="s">
        <v>239</v>
      </c>
    </row>
    <row r="257" spans="3:11" x14ac:dyDescent="0.25">
      <c r="C257" s="13" t="s">
        <v>34</v>
      </c>
      <c r="D257" s="8">
        <v>45753</v>
      </c>
      <c r="E257" s="7" t="s">
        <v>19</v>
      </c>
      <c r="F257" s="9">
        <v>0.33888888888888885</v>
      </c>
      <c r="G257" s="9">
        <v>0.87083333333333324</v>
      </c>
      <c r="H257" s="10">
        <f t="shared" si="6"/>
        <v>5.5555555555555358E-3</v>
      </c>
      <c r="I257" s="10">
        <f t="shared" si="7"/>
        <v>0.53194444444444433</v>
      </c>
      <c r="J257" s="35">
        <f>IF($I$11&gt;Table4[[#This Row],[Working Hours]],$F$6-Table4[[#This Row],[Working Hours]],0)</f>
        <v>0</v>
      </c>
      <c r="K257" s="20" t="s">
        <v>239</v>
      </c>
    </row>
    <row r="258" spans="3:11" x14ac:dyDescent="0.25">
      <c r="C258" s="13" t="s">
        <v>34</v>
      </c>
      <c r="D258" s="8">
        <v>45754</v>
      </c>
      <c r="E258" s="7" t="s">
        <v>7</v>
      </c>
      <c r="F258" s="9"/>
      <c r="G258" s="9"/>
      <c r="H258" s="10">
        <f t="shared" si="6"/>
        <v>0</v>
      </c>
      <c r="I258" s="10">
        <f t="shared" si="7"/>
        <v>0</v>
      </c>
      <c r="J258" s="35">
        <f>IF($I$11&gt;Table4[[#This Row],[Working Hours]],$F$6-Table4[[#This Row],[Working Hours]],0)</f>
        <v>0.33333333333333331</v>
      </c>
      <c r="K258" s="20" t="s">
        <v>240</v>
      </c>
    </row>
    <row r="259" spans="3:11" x14ac:dyDescent="0.25">
      <c r="C259" s="13" t="s">
        <v>34</v>
      </c>
      <c r="D259" s="8">
        <v>45755</v>
      </c>
      <c r="E259" s="7" t="s">
        <v>8</v>
      </c>
      <c r="F259" s="9"/>
      <c r="G259" s="9"/>
      <c r="H259" s="10">
        <f t="shared" si="6"/>
        <v>0</v>
      </c>
      <c r="I259" s="10">
        <f t="shared" si="7"/>
        <v>0</v>
      </c>
      <c r="J259" s="35">
        <f>IF($I$11&gt;Table4[[#This Row],[Working Hours]],$F$6-Table4[[#This Row],[Working Hours]],0)</f>
        <v>0.33333333333333331</v>
      </c>
      <c r="K259" s="20" t="s">
        <v>240</v>
      </c>
    </row>
    <row r="260" spans="3:11" x14ac:dyDescent="0.25">
      <c r="C260" s="13" t="s">
        <v>34</v>
      </c>
      <c r="D260" s="8">
        <v>45756</v>
      </c>
      <c r="E260" s="7" t="s">
        <v>20</v>
      </c>
      <c r="F260" s="9">
        <v>0.42430555555555555</v>
      </c>
      <c r="G260" s="9">
        <v>0.95763888888888893</v>
      </c>
      <c r="H260" s="10">
        <f t="shared" si="6"/>
        <v>9.0972222222222232E-2</v>
      </c>
      <c r="I260" s="10">
        <f t="shared" si="7"/>
        <v>0.53333333333333344</v>
      </c>
      <c r="J260" s="35">
        <f>IF($I$11&gt;Table4[[#This Row],[Working Hours]],$F$6-Table4[[#This Row],[Working Hours]],0)</f>
        <v>0</v>
      </c>
      <c r="K260" s="20" t="s">
        <v>239</v>
      </c>
    </row>
    <row r="261" spans="3:11" x14ac:dyDescent="0.25">
      <c r="C261" s="13" t="s">
        <v>34</v>
      </c>
      <c r="D261" s="8">
        <v>45757</v>
      </c>
      <c r="E261" s="7" t="s">
        <v>21</v>
      </c>
      <c r="F261" s="9">
        <v>0.4909722222222222</v>
      </c>
      <c r="G261" s="9">
        <v>0.99652777777777779</v>
      </c>
      <c r="H261" s="10">
        <f t="shared" si="6"/>
        <v>0.15763888888888888</v>
      </c>
      <c r="I261" s="10">
        <f t="shared" si="7"/>
        <v>0.50555555555555554</v>
      </c>
      <c r="J261" s="35">
        <f>IF($I$11&gt;Table4[[#This Row],[Working Hours]],$F$6-Table4[[#This Row],[Working Hours]],0)</f>
        <v>0</v>
      </c>
      <c r="K261" s="20" t="s">
        <v>239</v>
      </c>
    </row>
    <row r="262" spans="3:11" x14ac:dyDescent="0.25">
      <c r="C262" s="13" t="s">
        <v>34</v>
      </c>
      <c r="D262" s="8">
        <v>45758</v>
      </c>
      <c r="E262" s="7" t="s">
        <v>22</v>
      </c>
      <c r="F262" s="9">
        <v>0.48194444444444445</v>
      </c>
      <c r="G262" s="9">
        <v>0.93611111111111101</v>
      </c>
      <c r="H262" s="10">
        <f t="shared" si="6"/>
        <v>0.14861111111111114</v>
      </c>
      <c r="I262" s="10">
        <f t="shared" si="7"/>
        <v>0.45416666666666655</v>
      </c>
      <c r="J262" s="35">
        <f>IF($I$11&gt;Table4[[#This Row],[Working Hours]],$F$6-Table4[[#This Row],[Working Hours]],0)</f>
        <v>0</v>
      </c>
      <c r="K262" s="20" t="s">
        <v>239</v>
      </c>
    </row>
    <row r="263" spans="3:11" x14ac:dyDescent="0.25">
      <c r="C263" s="13" t="s">
        <v>34</v>
      </c>
      <c r="D263" s="8">
        <v>45759</v>
      </c>
      <c r="E263" s="7" t="s">
        <v>18</v>
      </c>
      <c r="F263" s="9">
        <v>0.32916666666666666</v>
      </c>
      <c r="G263" s="9">
        <v>0.93888888888888899</v>
      </c>
      <c r="H263" s="10">
        <f t="shared" si="6"/>
        <v>0</v>
      </c>
      <c r="I263" s="10">
        <f t="shared" si="7"/>
        <v>0.60972222222222228</v>
      </c>
      <c r="J263" s="35">
        <f>IF($I$11&gt;Table4[[#This Row],[Working Hours]],$F$6-Table4[[#This Row],[Working Hours]],0)</f>
        <v>0</v>
      </c>
      <c r="K263" s="20" t="s">
        <v>239</v>
      </c>
    </row>
    <row r="264" spans="3:11" x14ac:dyDescent="0.25">
      <c r="C264" s="13" t="s">
        <v>34</v>
      </c>
      <c r="D264" s="8">
        <v>45760</v>
      </c>
      <c r="E264" s="7" t="s">
        <v>19</v>
      </c>
      <c r="F264" s="9">
        <v>0.35138888888888892</v>
      </c>
      <c r="G264" s="9">
        <v>0.89930555555555547</v>
      </c>
      <c r="H264" s="10">
        <f t="shared" si="6"/>
        <v>1.8055555555555602E-2</v>
      </c>
      <c r="I264" s="10">
        <f t="shared" si="7"/>
        <v>0.54791666666666661</v>
      </c>
      <c r="J264" s="35">
        <f>IF($I$11&gt;Table4[[#This Row],[Working Hours]],$F$6-Table4[[#This Row],[Working Hours]],0)</f>
        <v>0</v>
      </c>
      <c r="K264" s="20" t="s">
        <v>239</v>
      </c>
    </row>
    <row r="265" spans="3:11" x14ac:dyDescent="0.25">
      <c r="C265" s="13" t="s">
        <v>34</v>
      </c>
      <c r="D265" s="8">
        <v>45761</v>
      </c>
      <c r="E265" s="7" t="s">
        <v>7</v>
      </c>
      <c r="F265" s="9"/>
      <c r="G265" s="9"/>
      <c r="H265" s="10">
        <f t="shared" si="6"/>
        <v>0</v>
      </c>
      <c r="I265" s="10">
        <f t="shared" si="7"/>
        <v>0</v>
      </c>
      <c r="J265" s="35">
        <f>IF($I$11&gt;Table4[[#This Row],[Working Hours]],$F$6-Table4[[#This Row],[Working Hours]],0)</f>
        <v>0.33333333333333331</v>
      </c>
      <c r="K265" s="20" t="s">
        <v>240</v>
      </c>
    </row>
    <row r="266" spans="3:11" x14ac:dyDescent="0.25">
      <c r="C266" s="13" t="s">
        <v>34</v>
      </c>
      <c r="D266" s="8">
        <v>45762</v>
      </c>
      <c r="E266" s="7" t="s">
        <v>8</v>
      </c>
      <c r="F266" s="9"/>
      <c r="G266" s="9"/>
      <c r="H266" s="10">
        <f t="shared" si="6"/>
        <v>0</v>
      </c>
      <c r="I266" s="10">
        <f t="shared" si="7"/>
        <v>0</v>
      </c>
      <c r="J266" s="35">
        <f>IF($I$11&gt;Table4[[#This Row],[Working Hours]],$F$6-Table4[[#This Row],[Working Hours]],0)</f>
        <v>0.33333333333333331</v>
      </c>
      <c r="K266" s="20" t="s">
        <v>240</v>
      </c>
    </row>
    <row r="267" spans="3:11" x14ac:dyDescent="0.25">
      <c r="C267" s="13" t="s">
        <v>34</v>
      </c>
      <c r="D267" s="8">
        <v>45763</v>
      </c>
      <c r="E267" s="7" t="s">
        <v>20</v>
      </c>
      <c r="F267" s="9">
        <v>0.45069444444444445</v>
      </c>
      <c r="G267" s="9">
        <v>0.85902777777777783</v>
      </c>
      <c r="H267" s="10">
        <f t="shared" si="6"/>
        <v>0.11736111111111114</v>
      </c>
      <c r="I267" s="10">
        <f t="shared" si="7"/>
        <v>0.40833333333333338</v>
      </c>
      <c r="J267" s="35">
        <f>IF($I$11&gt;Table4[[#This Row],[Working Hours]],$F$6-Table4[[#This Row],[Working Hours]],0)</f>
        <v>0</v>
      </c>
      <c r="K267" s="20" t="s">
        <v>239</v>
      </c>
    </row>
    <row r="268" spans="3:11" x14ac:dyDescent="0.25">
      <c r="C268" s="13" t="s">
        <v>34</v>
      </c>
      <c r="D268" s="8">
        <v>45764</v>
      </c>
      <c r="E268" s="7" t="s">
        <v>21</v>
      </c>
      <c r="F268" s="9">
        <v>0.48958333333333331</v>
      </c>
      <c r="G268" s="9">
        <v>0.9916666666666667</v>
      </c>
      <c r="H268" s="10">
        <f t="shared" ref="H268:H331" si="8">IF($F268&gt;$F$6,$F268-$F$6,0)</f>
        <v>0.15625</v>
      </c>
      <c r="I268" s="10">
        <f t="shared" ref="I268:I331" si="9">$G268-$F268</f>
        <v>0.50208333333333344</v>
      </c>
      <c r="J268" s="35">
        <f>IF($I$11&gt;Table4[[#This Row],[Working Hours]],$F$6-Table4[[#This Row],[Working Hours]],0)</f>
        <v>0</v>
      </c>
      <c r="K268" s="20" t="s">
        <v>239</v>
      </c>
    </row>
    <row r="269" spans="3:11" x14ac:dyDescent="0.25">
      <c r="C269" s="13" t="s">
        <v>34</v>
      </c>
      <c r="D269" s="8">
        <v>45765</v>
      </c>
      <c r="E269" s="7" t="s">
        <v>22</v>
      </c>
      <c r="F269" s="9">
        <v>0.38958333333333334</v>
      </c>
      <c r="G269" s="9">
        <v>0.90902777777777777</v>
      </c>
      <c r="H269" s="10">
        <f t="shared" si="8"/>
        <v>5.6250000000000022E-2</v>
      </c>
      <c r="I269" s="10">
        <f t="shared" si="9"/>
        <v>0.51944444444444438</v>
      </c>
      <c r="J269" s="35">
        <f>IF($I$11&gt;Table4[[#This Row],[Working Hours]],$F$6-Table4[[#This Row],[Working Hours]],0)</f>
        <v>0</v>
      </c>
      <c r="K269" s="20" t="s">
        <v>239</v>
      </c>
    </row>
    <row r="270" spans="3:11" x14ac:dyDescent="0.25">
      <c r="C270" s="13" t="s">
        <v>34</v>
      </c>
      <c r="D270" s="8">
        <v>45766</v>
      </c>
      <c r="E270" s="7" t="s">
        <v>18</v>
      </c>
      <c r="F270" s="9">
        <v>0.41041666666666665</v>
      </c>
      <c r="G270" s="9">
        <v>0.90208333333333324</v>
      </c>
      <c r="H270" s="10">
        <f t="shared" si="8"/>
        <v>7.7083333333333337E-2</v>
      </c>
      <c r="I270" s="10">
        <f t="shared" si="9"/>
        <v>0.49166666666666659</v>
      </c>
      <c r="J270" s="35">
        <f>IF($I$11&gt;Table4[[#This Row],[Working Hours]],$F$6-Table4[[#This Row],[Working Hours]],0)</f>
        <v>0</v>
      </c>
      <c r="K270" s="20" t="s">
        <v>239</v>
      </c>
    </row>
    <row r="271" spans="3:11" x14ac:dyDescent="0.25">
      <c r="C271" s="13" t="s">
        <v>34</v>
      </c>
      <c r="D271" s="8">
        <v>45767</v>
      </c>
      <c r="E271" s="7" t="s">
        <v>19</v>
      </c>
      <c r="F271" s="9">
        <v>0.43055555555555558</v>
      </c>
      <c r="G271" s="9">
        <v>0.8979166666666667</v>
      </c>
      <c r="H271" s="10">
        <f t="shared" si="8"/>
        <v>9.7222222222222265E-2</v>
      </c>
      <c r="I271" s="10">
        <f t="shared" si="9"/>
        <v>0.46736111111111112</v>
      </c>
      <c r="J271" s="35">
        <f>IF($I$11&gt;Table4[[#This Row],[Working Hours]],$F$6-Table4[[#This Row],[Working Hours]],0)</f>
        <v>0</v>
      </c>
      <c r="K271" s="20" t="s">
        <v>239</v>
      </c>
    </row>
    <row r="272" spans="3:11" x14ac:dyDescent="0.25">
      <c r="C272" s="13" t="s">
        <v>34</v>
      </c>
      <c r="D272" s="8">
        <v>45768</v>
      </c>
      <c r="E272" s="7" t="s">
        <v>7</v>
      </c>
      <c r="F272" s="9"/>
      <c r="G272" s="9"/>
      <c r="H272" s="10">
        <f t="shared" si="8"/>
        <v>0</v>
      </c>
      <c r="I272" s="10">
        <f t="shared" si="9"/>
        <v>0</v>
      </c>
      <c r="J272" s="35">
        <f>IF($I$11&gt;Table4[[#This Row],[Working Hours]],$F$6-Table4[[#This Row],[Working Hours]],0)</f>
        <v>0.33333333333333331</v>
      </c>
      <c r="K272" s="20" t="s">
        <v>240</v>
      </c>
    </row>
    <row r="273" spans="3:11" x14ac:dyDescent="0.25">
      <c r="C273" s="13" t="s">
        <v>34</v>
      </c>
      <c r="D273" s="8">
        <v>45769</v>
      </c>
      <c r="E273" s="7" t="s">
        <v>8</v>
      </c>
      <c r="F273" s="9"/>
      <c r="G273" s="9"/>
      <c r="H273" s="10">
        <f t="shared" si="8"/>
        <v>0</v>
      </c>
      <c r="I273" s="10">
        <f t="shared" si="9"/>
        <v>0</v>
      </c>
      <c r="J273" s="35">
        <f>IF($I$11&gt;Table4[[#This Row],[Working Hours]],$F$6-Table4[[#This Row],[Working Hours]],0)</f>
        <v>0.33333333333333331</v>
      </c>
      <c r="K273" s="20" t="s">
        <v>240</v>
      </c>
    </row>
    <row r="274" spans="3:11" x14ac:dyDescent="0.25">
      <c r="C274" s="13" t="s">
        <v>34</v>
      </c>
      <c r="D274" s="8">
        <v>45770</v>
      </c>
      <c r="E274" s="7" t="s">
        <v>20</v>
      </c>
      <c r="F274" s="9">
        <v>0.34513888888888888</v>
      </c>
      <c r="G274" s="9">
        <v>0.9375</v>
      </c>
      <c r="H274" s="10">
        <f t="shared" si="8"/>
        <v>1.1805555555555569E-2</v>
      </c>
      <c r="I274" s="10">
        <f t="shared" si="9"/>
        <v>0.59236111111111112</v>
      </c>
      <c r="J274" s="35">
        <f>IF($I$11&gt;Table4[[#This Row],[Working Hours]],$F$6-Table4[[#This Row],[Working Hours]],0)</f>
        <v>0</v>
      </c>
      <c r="K274" s="20" t="s">
        <v>239</v>
      </c>
    </row>
    <row r="275" spans="3:11" x14ac:dyDescent="0.25">
      <c r="C275" s="13" t="s">
        <v>34</v>
      </c>
      <c r="D275" s="8">
        <v>45771</v>
      </c>
      <c r="E275" s="7" t="s">
        <v>21</v>
      </c>
      <c r="F275" s="9">
        <v>0.35694444444444445</v>
      </c>
      <c r="G275" s="9">
        <v>0.8652777777777777</v>
      </c>
      <c r="H275" s="10">
        <f t="shared" si="8"/>
        <v>2.3611111111111138E-2</v>
      </c>
      <c r="I275" s="10">
        <f t="shared" si="9"/>
        <v>0.5083333333333333</v>
      </c>
      <c r="J275" s="35">
        <f>IF($I$11&gt;Table4[[#This Row],[Working Hours]],$F$6-Table4[[#This Row],[Working Hours]],0)</f>
        <v>0</v>
      </c>
      <c r="K275" s="20" t="s">
        <v>239</v>
      </c>
    </row>
    <row r="276" spans="3:11" x14ac:dyDescent="0.25">
      <c r="C276" s="13" t="s">
        <v>34</v>
      </c>
      <c r="D276" s="8">
        <v>45772</v>
      </c>
      <c r="E276" s="7" t="s">
        <v>22</v>
      </c>
      <c r="F276" s="9">
        <v>0.46249999999999997</v>
      </c>
      <c r="G276" s="9">
        <v>0.91527777777777775</v>
      </c>
      <c r="H276" s="10">
        <f t="shared" si="8"/>
        <v>0.12916666666666665</v>
      </c>
      <c r="I276" s="10">
        <f t="shared" si="9"/>
        <v>0.45277777777777778</v>
      </c>
      <c r="J276" s="35">
        <f>IF($I$11&gt;Table4[[#This Row],[Working Hours]],$F$6-Table4[[#This Row],[Working Hours]],0)</f>
        <v>0</v>
      </c>
      <c r="K276" s="20" t="s">
        <v>239</v>
      </c>
    </row>
    <row r="277" spans="3:11" x14ac:dyDescent="0.25">
      <c r="C277" s="13" t="s">
        <v>34</v>
      </c>
      <c r="D277" s="8">
        <v>45773</v>
      </c>
      <c r="E277" s="7" t="s">
        <v>18</v>
      </c>
      <c r="F277" s="9">
        <v>0.4291666666666667</v>
      </c>
      <c r="G277" s="9">
        <v>0.86249999999999993</v>
      </c>
      <c r="H277" s="10">
        <f t="shared" si="8"/>
        <v>9.5833333333333381E-2</v>
      </c>
      <c r="I277" s="10">
        <f t="shared" si="9"/>
        <v>0.43333333333333324</v>
      </c>
      <c r="J277" s="35">
        <f>IF($I$11&gt;Table4[[#This Row],[Working Hours]],$F$6-Table4[[#This Row],[Working Hours]],0)</f>
        <v>0</v>
      </c>
      <c r="K277" s="20" t="s">
        <v>239</v>
      </c>
    </row>
    <row r="278" spans="3:11" x14ac:dyDescent="0.25">
      <c r="C278" s="13" t="s">
        <v>34</v>
      </c>
      <c r="D278" s="8">
        <v>45774</v>
      </c>
      <c r="E278" s="7" t="s">
        <v>19</v>
      </c>
      <c r="F278" s="9">
        <v>0.4291666666666667</v>
      </c>
      <c r="G278" s="9">
        <v>0.9868055555555556</v>
      </c>
      <c r="H278" s="10">
        <f t="shared" si="8"/>
        <v>9.5833333333333381E-2</v>
      </c>
      <c r="I278" s="10">
        <f t="shared" si="9"/>
        <v>0.55763888888888891</v>
      </c>
      <c r="J278" s="35">
        <f>IF($I$11&gt;Table4[[#This Row],[Working Hours]],$F$6-Table4[[#This Row],[Working Hours]],0)</f>
        <v>0</v>
      </c>
      <c r="K278" s="20" t="s">
        <v>239</v>
      </c>
    </row>
    <row r="279" spans="3:11" x14ac:dyDescent="0.25">
      <c r="C279" s="13" t="s">
        <v>34</v>
      </c>
      <c r="D279" s="8">
        <v>45775</v>
      </c>
      <c r="E279" s="7" t="s">
        <v>7</v>
      </c>
      <c r="F279" s="9"/>
      <c r="G279" s="9"/>
      <c r="H279" s="10">
        <f t="shared" si="8"/>
        <v>0</v>
      </c>
      <c r="I279" s="10">
        <f t="shared" si="9"/>
        <v>0</v>
      </c>
      <c r="J279" s="35">
        <f>IF($I$11&gt;Table4[[#This Row],[Working Hours]],$F$6-Table4[[#This Row],[Working Hours]],0)</f>
        <v>0.33333333333333331</v>
      </c>
      <c r="K279" s="20" t="s">
        <v>240</v>
      </c>
    </row>
    <row r="280" spans="3:11" x14ac:dyDescent="0.25">
      <c r="C280" s="13" t="s">
        <v>34</v>
      </c>
      <c r="D280" s="8">
        <v>45776</v>
      </c>
      <c r="E280" s="7" t="s">
        <v>8</v>
      </c>
      <c r="F280" s="9"/>
      <c r="G280" s="9"/>
      <c r="H280" s="10">
        <f t="shared" si="8"/>
        <v>0</v>
      </c>
      <c r="I280" s="10">
        <f t="shared" si="9"/>
        <v>0</v>
      </c>
      <c r="J280" s="35">
        <f>IF($I$11&gt;Table4[[#This Row],[Working Hours]],$F$6-Table4[[#This Row],[Working Hours]],0)</f>
        <v>0.33333333333333331</v>
      </c>
      <c r="K280" s="20" t="s">
        <v>240</v>
      </c>
    </row>
    <row r="281" spans="3:11" x14ac:dyDescent="0.25">
      <c r="C281" s="13" t="s">
        <v>34</v>
      </c>
      <c r="D281" s="8">
        <v>45777</v>
      </c>
      <c r="E281" s="7" t="s">
        <v>20</v>
      </c>
      <c r="F281" s="9">
        <v>0.44375000000000003</v>
      </c>
      <c r="G281" s="9">
        <v>0.89722222222222225</v>
      </c>
      <c r="H281" s="10">
        <f t="shared" si="8"/>
        <v>0.11041666666666672</v>
      </c>
      <c r="I281" s="10">
        <f t="shared" si="9"/>
        <v>0.45347222222222222</v>
      </c>
      <c r="J281" s="35">
        <f>IF($I$11&gt;Table4[[#This Row],[Working Hours]],$F$6-Table4[[#This Row],[Working Hours]],0)</f>
        <v>0</v>
      </c>
      <c r="K281" s="20" t="s">
        <v>239</v>
      </c>
    </row>
    <row r="282" spans="3:11" x14ac:dyDescent="0.25">
      <c r="C282" s="13" t="s">
        <v>34</v>
      </c>
      <c r="D282" s="8">
        <v>45778</v>
      </c>
      <c r="E282" s="7" t="s">
        <v>21</v>
      </c>
      <c r="F282" s="9"/>
      <c r="G282" s="9"/>
      <c r="H282" s="10">
        <f t="shared" si="8"/>
        <v>0</v>
      </c>
      <c r="I282" s="10">
        <f t="shared" si="9"/>
        <v>0</v>
      </c>
      <c r="J282" s="35">
        <v>0.33333333333333331</v>
      </c>
      <c r="K282" s="20" t="s">
        <v>71</v>
      </c>
    </row>
    <row r="283" spans="3:11" x14ac:dyDescent="0.25">
      <c r="C283" s="13" t="s">
        <v>34</v>
      </c>
      <c r="D283" s="8">
        <v>45779</v>
      </c>
      <c r="E283" s="7" t="s">
        <v>22</v>
      </c>
      <c r="F283" s="9">
        <v>0.31111111111111112</v>
      </c>
      <c r="G283" s="9">
        <v>0.93819444444444444</v>
      </c>
      <c r="H283" s="10">
        <f t="shared" si="8"/>
        <v>0</v>
      </c>
      <c r="I283" s="10">
        <f t="shared" si="9"/>
        <v>0.62708333333333333</v>
      </c>
      <c r="J283" s="35">
        <f>IF($I$11&gt;Table4[[#This Row],[Working Hours]],$F$6-Table4[[#This Row],[Working Hours]],0)</f>
        <v>0</v>
      </c>
      <c r="K283" s="20" t="s">
        <v>239</v>
      </c>
    </row>
    <row r="284" spans="3:11" x14ac:dyDescent="0.25">
      <c r="C284" s="13" t="s">
        <v>34</v>
      </c>
      <c r="D284" s="8">
        <v>45780</v>
      </c>
      <c r="E284" s="7" t="s">
        <v>18</v>
      </c>
      <c r="F284" s="9">
        <v>0.40347222222222223</v>
      </c>
      <c r="G284" s="9">
        <v>0.91527777777777775</v>
      </c>
      <c r="H284" s="10">
        <f t="shared" si="8"/>
        <v>7.0138888888888917E-2</v>
      </c>
      <c r="I284" s="10">
        <f t="shared" si="9"/>
        <v>0.51180555555555551</v>
      </c>
      <c r="J284" s="35">
        <f>IF($I$11&gt;Table4[[#This Row],[Working Hours]],$F$6-Table4[[#This Row],[Working Hours]],0)</f>
        <v>0</v>
      </c>
      <c r="K284" s="20" t="s">
        <v>239</v>
      </c>
    </row>
    <row r="285" spans="3:11" x14ac:dyDescent="0.25">
      <c r="C285" s="13" t="s">
        <v>34</v>
      </c>
      <c r="D285" s="8">
        <v>45781</v>
      </c>
      <c r="E285" s="7" t="s">
        <v>19</v>
      </c>
      <c r="F285" s="9">
        <v>0.41041666666666665</v>
      </c>
      <c r="G285" s="9">
        <v>0.93263888888888891</v>
      </c>
      <c r="H285" s="10">
        <f t="shared" si="8"/>
        <v>7.7083333333333337E-2</v>
      </c>
      <c r="I285" s="10">
        <f t="shared" si="9"/>
        <v>0.52222222222222225</v>
      </c>
      <c r="J285" s="35">
        <f>IF($I$11&gt;Table4[[#This Row],[Working Hours]],$F$6-Table4[[#This Row],[Working Hours]],0)</f>
        <v>0</v>
      </c>
      <c r="K285" s="20" t="s">
        <v>239</v>
      </c>
    </row>
    <row r="286" spans="3:11" x14ac:dyDescent="0.25">
      <c r="C286" s="13" t="s">
        <v>34</v>
      </c>
      <c r="D286" s="8">
        <v>45782</v>
      </c>
      <c r="E286" s="7" t="s">
        <v>7</v>
      </c>
      <c r="F286" s="9"/>
      <c r="G286" s="9"/>
      <c r="H286" s="10">
        <f t="shared" si="8"/>
        <v>0</v>
      </c>
      <c r="I286" s="10">
        <f t="shared" si="9"/>
        <v>0</v>
      </c>
      <c r="J286" s="35">
        <f>IF($I$11&gt;Table4[[#This Row],[Working Hours]],$F$6-Table4[[#This Row],[Working Hours]],0)</f>
        <v>0.33333333333333331</v>
      </c>
      <c r="K286" s="20" t="s">
        <v>240</v>
      </c>
    </row>
    <row r="287" spans="3:11" x14ac:dyDescent="0.25">
      <c r="C287" s="13" t="s">
        <v>34</v>
      </c>
      <c r="D287" s="8">
        <v>45783</v>
      </c>
      <c r="E287" s="7" t="s">
        <v>8</v>
      </c>
      <c r="F287" s="9"/>
      <c r="G287" s="9"/>
      <c r="H287" s="10">
        <f t="shared" si="8"/>
        <v>0</v>
      </c>
      <c r="I287" s="10">
        <f t="shared" si="9"/>
        <v>0</v>
      </c>
      <c r="J287" s="35">
        <f>IF($I$11&gt;Table4[[#This Row],[Working Hours]],$F$6-Table4[[#This Row],[Working Hours]],0)</f>
        <v>0.33333333333333331</v>
      </c>
      <c r="K287" s="20" t="s">
        <v>240</v>
      </c>
    </row>
    <row r="288" spans="3:11" x14ac:dyDescent="0.25">
      <c r="C288" s="13" t="s">
        <v>34</v>
      </c>
      <c r="D288" s="8">
        <v>45784</v>
      </c>
      <c r="E288" s="7" t="s">
        <v>20</v>
      </c>
      <c r="F288" s="9">
        <v>0.4604166666666667</v>
      </c>
      <c r="G288" s="9">
        <v>0.8979166666666667</v>
      </c>
      <c r="H288" s="10">
        <f t="shared" si="8"/>
        <v>0.12708333333333338</v>
      </c>
      <c r="I288" s="10">
        <f t="shared" si="9"/>
        <v>0.4375</v>
      </c>
      <c r="J288" s="35">
        <f>IF($I$11&gt;Table4[[#This Row],[Working Hours]],$F$6-Table4[[#This Row],[Working Hours]],0)</f>
        <v>0</v>
      </c>
      <c r="K288" s="20" t="s">
        <v>239</v>
      </c>
    </row>
    <row r="289" spans="3:11" x14ac:dyDescent="0.25">
      <c r="C289" s="13" t="s">
        <v>34</v>
      </c>
      <c r="D289" s="8">
        <v>45785</v>
      </c>
      <c r="E289" s="7" t="s">
        <v>21</v>
      </c>
      <c r="F289" s="9">
        <v>0.47638888888888892</v>
      </c>
      <c r="G289" s="9">
        <v>0.89236111111111116</v>
      </c>
      <c r="H289" s="10">
        <f t="shared" si="8"/>
        <v>0.1430555555555556</v>
      </c>
      <c r="I289" s="10">
        <f t="shared" si="9"/>
        <v>0.41597222222222224</v>
      </c>
      <c r="J289" s="35">
        <f>IF($I$11&gt;Table4[[#This Row],[Working Hours]],$F$6-Table4[[#This Row],[Working Hours]],0)</f>
        <v>0</v>
      </c>
      <c r="K289" s="20" t="s">
        <v>239</v>
      </c>
    </row>
    <row r="290" spans="3:11" x14ac:dyDescent="0.25">
      <c r="C290" s="13" t="s">
        <v>34</v>
      </c>
      <c r="D290" s="8">
        <v>45786</v>
      </c>
      <c r="E290" s="7" t="s">
        <v>22</v>
      </c>
      <c r="F290" s="9">
        <v>0.44513888888888892</v>
      </c>
      <c r="G290" s="9">
        <v>0.99861111111111101</v>
      </c>
      <c r="H290" s="10">
        <f t="shared" si="8"/>
        <v>0.1118055555555556</v>
      </c>
      <c r="I290" s="10">
        <f t="shared" si="9"/>
        <v>0.55347222222222214</v>
      </c>
      <c r="J290" s="35">
        <f>IF($I$11&gt;Table4[[#This Row],[Working Hours]],$F$6-Table4[[#This Row],[Working Hours]],0)</f>
        <v>0</v>
      </c>
      <c r="K290" s="20" t="s">
        <v>239</v>
      </c>
    </row>
    <row r="291" spans="3:11" x14ac:dyDescent="0.25">
      <c r="C291" s="13" t="s">
        <v>34</v>
      </c>
      <c r="D291" s="8">
        <v>45787</v>
      </c>
      <c r="E291" s="7" t="s">
        <v>18</v>
      </c>
      <c r="F291" s="9">
        <v>0.45347222222222222</v>
      </c>
      <c r="G291" s="9">
        <v>0.95486111111111116</v>
      </c>
      <c r="H291" s="10">
        <f t="shared" si="8"/>
        <v>0.12013888888888891</v>
      </c>
      <c r="I291" s="10">
        <f t="shared" si="9"/>
        <v>0.50138888888888888</v>
      </c>
      <c r="J291" s="35">
        <f>IF($I$11&gt;Table4[[#This Row],[Working Hours]],$F$6-Table4[[#This Row],[Working Hours]],0)</f>
        <v>0</v>
      </c>
      <c r="K291" s="20" t="s">
        <v>239</v>
      </c>
    </row>
    <row r="292" spans="3:11" x14ac:dyDescent="0.25">
      <c r="C292" s="13" t="s">
        <v>34</v>
      </c>
      <c r="D292" s="8">
        <v>45788</v>
      </c>
      <c r="E292" s="7" t="s">
        <v>19</v>
      </c>
      <c r="F292" s="9">
        <v>0.49583333333333335</v>
      </c>
      <c r="G292" s="9">
        <v>0.88611111111111107</v>
      </c>
      <c r="H292" s="10">
        <f t="shared" si="8"/>
        <v>0.16250000000000003</v>
      </c>
      <c r="I292" s="10">
        <f t="shared" si="9"/>
        <v>0.39027777777777772</v>
      </c>
      <c r="J292" s="35">
        <f>IF($I$11&gt;Table4[[#This Row],[Working Hours]],$F$6-Table4[[#This Row],[Working Hours]],0)</f>
        <v>0</v>
      </c>
      <c r="K292" s="20" t="s">
        <v>239</v>
      </c>
    </row>
    <row r="293" spans="3:11" x14ac:dyDescent="0.25">
      <c r="C293" s="13" t="s">
        <v>34</v>
      </c>
      <c r="D293" s="8">
        <v>45789</v>
      </c>
      <c r="E293" s="7" t="s">
        <v>7</v>
      </c>
      <c r="F293" s="9"/>
      <c r="G293" s="9"/>
      <c r="H293" s="10">
        <f t="shared" si="8"/>
        <v>0</v>
      </c>
      <c r="I293" s="10">
        <f t="shared" si="9"/>
        <v>0</v>
      </c>
      <c r="J293" s="35">
        <f>IF($I$11&gt;Table4[[#This Row],[Working Hours]],$F$6-Table4[[#This Row],[Working Hours]],0)</f>
        <v>0.33333333333333331</v>
      </c>
      <c r="K293" s="20" t="s">
        <v>240</v>
      </c>
    </row>
    <row r="294" spans="3:11" x14ac:dyDescent="0.25">
      <c r="C294" s="13" t="s">
        <v>34</v>
      </c>
      <c r="D294" s="8">
        <v>45790</v>
      </c>
      <c r="E294" s="7" t="s">
        <v>8</v>
      </c>
      <c r="F294" s="9"/>
      <c r="G294" s="9"/>
      <c r="H294" s="10">
        <f t="shared" si="8"/>
        <v>0</v>
      </c>
      <c r="I294" s="10">
        <f t="shared" si="9"/>
        <v>0</v>
      </c>
      <c r="J294" s="35">
        <f>IF($I$11&gt;Table4[[#This Row],[Working Hours]],$F$6-Table4[[#This Row],[Working Hours]],0)</f>
        <v>0.33333333333333331</v>
      </c>
      <c r="K294" s="20" t="s">
        <v>240</v>
      </c>
    </row>
    <row r="295" spans="3:11" x14ac:dyDescent="0.25">
      <c r="C295" s="13" t="s">
        <v>34</v>
      </c>
      <c r="D295" s="8">
        <v>45791</v>
      </c>
      <c r="E295" s="7" t="s">
        <v>20</v>
      </c>
      <c r="F295" s="9">
        <v>0.3659722222222222</v>
      </c>
      <c r="G295" s="9">
        <v>0.95138888888888884</v>
      </c>
      <c r="H295" s="10">
        <f t="shared" si="8"/>
        <v>3.2638888888888884E-2</v>
      </c>
      <c r="I295" s="10">
        <f t="shared" si="9"/>
        <v>0.5854166666666667</v>
      </c>
      <c r="J295" s="35">
        <f>IF($I$11&gt;Table4[[#This Row],[Working Hours]],$F$6-Table4[[#This Row],[Working Hours]],0)</f>
        <v>0</v>
      </c>
      <c r="K295" s="20" t="s">
        <v>239</v>
      </c>
    </row>
    <row r="296" spans="3:11" x14ac:dyDescent="0.25">
      <c r="C296" s="13" t="s">
        <v>34</v>
      </c>
      <c r="D296" s="8">
        <v>45792</v>
      </c>
      <c r="E296" s="7" t="s">
        <v>21</v>
      </c>
      <c r="F296" s="9">
        <v>0.38055555555555554</v>
      </c>
      <c r="G296" s="9">
        <v>0.89583333333333337</v>
      </c>
      <c r="H296" s="10">
        <f t="shared" si="8"/>
        <v>4.7222222222222221E-2</v>
      </c>
      <c r="I296" s="10">
        <f t="shared" si="9"/>
        <v>0.51527777777777783</v>
      </c>
      <c r="J296" s="35">
        <f>IF($I$11&gt;Table4[[#This Row],[Working Hours]],$F$6-Table4[[#This Row],[Working Hours]],0)</f>
        <v>0</v>
      </c>
      <c r="K296" s="20" t="s">
        <v>239</v>
      </c>
    </row>
    <row r="297" spans="3:11" x14ac:dyDescent="0.25">
      <c r="C297" s="13" t="s">
        <v>34</v>
      </c>
      <c r="D297" s="8">
        <v>45793</v>
      </c>
      <c r="E297" s="7" t="s">
        <v>22</v>
      </c>
      <c r="F297" s="9">
        <v>0.46319444444444446</v>
      </c>
      <c r="G297" s="9">
        <v>0.88888888888888884</v>
      </c>
      <c r="H297" s="10">
        <f t="shared" si="8"/>
        <v>0.12986111111111115</v>
      </c>
      <c r="I297" s="10">
        <f t="shared" si="9"/>
        <v>0.42569444444444438</v>
      </c>
      <c r="J297" s="35">
        <f>IF($I$11&gt;Table4[[#This Row],[Working Hours]],$F$6-Table4[[#This Row],[Working Hours]],0)</f>
        <v>0</v>
      </c>
      <c r="K297" s="20" t="s">
        <v>239</v>
      </c>
    </row>
    <row r="298" spans="3:11" x14ac:dyDescent="0.25">
      <c r="C298" s="13" t="s">
        <v>34</v>
      </c>
      <c r="D298" s="8">
        <v>45794</v>
      </c>
      <c r="E298" s="7" t="s">
        <v>18</v>
      </c>
      <c r="F298" s="9">
        <v>0.34791666666666665</v>
      </c>
      <c r="G298" s="9">
        <v>0.99097222222222225</v>
      </c>
      <c r="H298" s="10">
        <f t="shared" si="8"/>
        <v>1.4583333333333337E-2</v>
      </c>
      <c r="I298" s="10">
        <f t="shared" si="9"/>
        <v>0.6430555555555556</v>
      </c>
      <c r="J298" s="35">
        <f>IF($I$11&gt;Table4[[#This Row],[Working Hours]],$F$6-Table4[[#This Row],[Working Hours]],0)</f>
        <v>0</v>
      </c>
      <c r="K298" s="20" t="s">
        <v>239</v>
      </c>
    </row>
    <row r="299" spans="3:11" x14ac:dyDescent="0.25">
      <c r="C299" s="13" t="s">
        <v>34</v>
      </c>
      <c r="D299" s="8">
        <v>45795</v>
      </c>
      <c r="E299" s="7" t="s">
        <v>19</v>
      </c>
      <c r="F299" s="9">
        <v>0.35694444444444445</v>
      </c>
      <c r="G299" s="9">
        <v>0.93611111111111101</v>
      </c>
      <c r="H299" s="10">
        <f t="shared" si="8"/>
        <v>2.3611111111111138E-2</v>
      </c>
      <c r="I299" s="10">
        <f t="shared" si="9"/>
        <v>0.57916666666666661</v>
      </c>
      <c r="J299" s="35">
        <f>IF($I$11&gt;Table4[[#This Row],[Working Hours]],$F$6-Table4[[#This Row],[Working Hours]],0)</f>
        <v>0</v>
      </c>
      <c r="K299" s="20" t="s">
        <v>239</v>
      </c>
    </row>
    <row r="300" spans="3:11" x14ac:dyDescent="0.25">
      <c r="C300" s="13" t="s">
        <v>34</v>
      </c>
      <c r="D300" s="8">
        <v>45796</v>
      </c>
      <c r="E300" s="7" t="s">
        <v>7</v>
      </c>
      <c r="F300" s="9"/>
      <c r="G300" s="9"/>
      <c r="H300" s="10">
        <f t="shared" si="8"/>
        <v>0</v>
      </c>
      <c r="I300" s="10">
        <f t="shared" si="9"/>
        <v>0</v>
      </c>
      <c r="J300" s="35">
        <f>IF($I$11&gt;Table4[[#This Row],[Working Hours]],$F$6-Table4[[#This Row],[Working Hours]],0)</f>
        <v>0.33333333333333331</v>
      </c>
      <c r="K300" s="20" t="s">
        <v>240</v>
      </c>
    </row>
    <row r="301" spans="3:11" x14ac:dyDescent="0.25">
      <c r="C301" s="13" t="s">
        <v>34</v>
      </c>
      <c r="D301" s="8">
        <v>45797</v>
      </c>
      <c r="E301" s="7" t="s">
        <v>8</v>
      </c>
      <c r="F301" s="9"/>
      <c r="G301" s="9"/>
      <c r="H301" s="10">
        <f t="shared" si="8"/>
        <v>0</v>
      </c>
      <c r="I301" s="10">
        <f t="shared" si="9"/>
        <v>0</v>
      </c>
      <c r="J301" s="35">
        <f>IF($I$11&gt;Table4[[#This Row],[Working Hours]],$F$6-Table4[[#This Row],[Working Hours]],0)</f>
        <v>0.33333333333333331</v>
      </c>
      <c r="K301" s="20" t="s">
        <v>240</v>
      </c>
    </row>
    <row r="302" spans="3:11" x14ac:dyDescent="0.25">
      <c r="C302" s="13" t="s">
        <v>34</v>
      </c>
      <c r="D302" s="8">
        <v>45798</v>
      </c>
      <c r="E302" s="7" t="s">
        <v>20</v>
      </c>
      <c r="F302" s="9">
        <v>0.37777777777777777</v>
      </c>
      <c r="G302" s="9">
        <v>0.94513888888888886</v>
      </c>
      <c r="H302" s="10">
        <f t="shared" si="8"/>
        <v>4.4444444444444453E-2</v>
      </c>
      <c r="I302" s="10">
        <f t="shared" si="9"/>
        <v>0.56736111111111109</v>
      </c>
      <c r="J302" s="35">
        <f>IF($I$11&gt;Table4[[#This Row],[Working Hours]],$F$6-Table4[[#This Row],[Working Hours]],0)</f>
        <v>0</v>
      </c>
      <c r="K302" s="20" t="s">
        <v>239</v>
      </c>
    </row>
    <row r="303" spans="3:11" x14ac:dyDescent="0.25">
      <c r="C303" s="13" t="s">
        <v>34</v>
      </c>
      <c r="D303" s="8">
        <v>45799</v>
      </c>
      <c r="E303" s="7" t="s">
        <v>21</v>
      </c>
      <c r="F303" s="9"/>
      <c r="G303" s="9"/>
      <c r="H303" s="10">
        <f t="shared" si="8"/>
        <v>0</v>
      </c>
      <c r="I303" s="10">
        <f t="shared" si="9"/>
        <v>0</v>
      </c>
      <c r="J303" s="35">
        <f>IF($I$11&gt;Table4[[#This Row],[Working Hours]],$F$6-Table4[[#This Row],[Working Hours]],0)</f>
        <v>0.33333333333333331</v>
      </c>
      <c r="K303" s="20" t="s">
        <v>238</v>
      </c>
    </row>
    <row r="304" spans="3:11" x14ac:dyDescent="0.25">
      <c r="C304" s="13" t="s">
        <v>34</v>
      </c>
      <c r="D304" s="8">
        <v>45800</v>
      </c>
      <c r="E304" s="7" t="s">
        <v>22</v>
      </c>
      <c r="F304" s="9">
        <v>0.3034722222222222</v>
      </c>
      <c r="G304" s="9">
        <v>0.87361111111111101</v>
      </c>
      <c r="H304" s="10">
        <f t="shared" si="8"/>
        <v>0</v>
      </c>
      <c r="I304" s="10">
        <f t="shared" si="9"/>
        <v>0.57013888888888875</v>
      </c>
      <c r="J304" s="35">
        <f>IF($I$11&gt;Table4[[#This Row],[Working Hours]],$F$6-Table4[[#This Row],[Working Hours]],0)</f>
        <v>0</v>
      </c>
      <c r="K304" s="20" t="s">
        <v>239</v>
      </c>
    </row>
    <row r="305" spans="3:11" x14ac:dyDescent="0.25">
      <c r="C305" s="13" t="s">
        <v>34</v>
      </c>
      <c r="D305" s="8">
        <v>45801</v>
      </c>
      <c r="E305" s="7" t="s">
        <v>18</v>
      </c>
      <c r="F305" s="9">
        <v>0.34583333333333338</v>
      </c>
      <c r="G305" s="9">
        <v>0.90625</v>
      </c>
      <c r="H305" s="10">
        <f t="shared" si="8"/>
        <v>1.2500000000000067E-2</v>
      </c>
      <c r="I305" s="10">
        <f t="shared" si="9"/>
        <v>0.56041666666666656</v>
      </c>
      <c r="J305" s="35">
        <f>IF($I$11&gt;Table4[[#This Row],[Working Hours]],$F$6-Table4[[#This Row],[Working Hours]],0)</f>
        <v>0</v>
      </c>
      <c r="K305" s="20" t="s">
        <v>239</v>
      </c>
    </row>
    <row r="306" spans="3:11" x14ac:dyDescent="0.25">
      <c r="C306" s="13" t="s">
        <v>34</v>
      </c>
      <c r="D306" s="8">
        <v>45802</v>
      </c>
      <c r="E306" s="7" t="s">
        <v>19</v>
      </c>
      <c r="F306" s="9">
        <v>0.41041666666666665</v>
      </c>
      <c r="G306" s="9">
        <v>0.86805555555555547</v>
      </c>
      <c r="H306" s="10">
        <f t="shared" si="8"/>
        <v>7.7083333333333337E-2</v>
      </c>
      <c r="I306" s="10">
        <f t="shared" si="9"/>
        <v>0.45763888888888882</v>
      </c>
      <c r="J306" s="35">
        <f>IF($I$11&gt;Table4[[#This Row],[Working Hours]],$F$6-Table4[[#This Row],[Working Hours]],0)</f>
        <v>0</v>
      </c>
      <c r="K306" s="20" t="s">
        <v>239</v>
      </c>
    </row>
    <row r="307" spans="3:11" x14ac:dyDescent="0.25">
      <c r="C307" s="13" t="s">
        <v>34</v>
      </c>
      <c r="D307" s="8">
        <v>45803</v>
      </c>
      <c r="E307" s="7" t="s">
        <v>7</v>
      </c>
      <c r="F307" s="9"/>
      <c r="G307" s="9"/>
      <c r="H307" s="10">
        <f t="shared" si="8"/>
        <v>0</v>
      </c>
      <c r="I307" s="10">
        <f t="shared" si="9"/>
        <v>0</v>
      </c>
      <c r="J307" s="35">
        <f>IF($I$11&gt;Table4[[#This Row],[Working Hours]],$F$6-Table4[[#This Row],[Working Hours]],0)</f>
        <v>0.33333333333333331</v>
      </c>
      <c r="K307" s="20" t="s">
        <v>240</v>
      </c>
    </row>
    <row r="308" spans="3:11" x14ac:dyDescent="0.25">
      <c r="C308" s="13" t="s">
        <v>34</v>
      </c>
      <c r="D308" s="8">
        <v>45804</v>
      </c>
      <c r="E308" s="7" t="s">
        <v>8</v>
      </c>
      <c r="F308" s="9"/>
      <c r="G308" s="9"/>
      <c r="H308" s="10">
        <f t="shared" si="8"/>
        <v>0</v>
      </c>
      <c r="I308" s="10">
        <f t="shared" si="9"/>
        <v>0</v>
      </c>
      <c r="J308" s="35">
        <f>IF($I$11&gt;Table4[[#This Row],[Working Hours]],$F$6-Table4[[#This Row],[Working Hours]],0)</f>
        <v>0.33333333333333331</v>
      </c>
      <c r="K308" s="20" t="s">
        <v>240</v>
      </c>
    </row>
    <row r="309" spans="3:11" x14ac:dyDescent="0.25">
      <c r="C309" s="13" t="s">
        <v>34</v>
      </c>
      <c r="D309" s="8">
        <v>45805</v>
      </c>
      <c r="E309" s="7" t="s">
        <v>20</v>
      </c>
      <c r="F309" s="9"/>
      <c r="G309" s="9"/>
      <c r="H309" s="10">
        <f t="shared" si="8"/>
        <v>0</v>
      </c>
      <c r="I309" s="10">
        <f t="shared" si="9"/>
        <v>0</v>
      </c>
      <c r="J309" s="35">
        <f>IF($I$11&gt;Table4[[#This Row],[Working Hours]],$F$6-Table4[[#This Row],[Working Hours]],0)</f>
        <v>0.33333333333333331</v>
      </c>
      <c r="K309" s="20" t="s">
        <v>238</v>
      </c>
    </row>
    <row r="310" spans="3:11" x14ac:dyDescent="0.25">
      <c r="C310" s="13" t="s">
        <v>34</v>
      </c>
      <c r="D310" s="8">
        <v>45806</v>
      </c>
      <c r="E310" s="7" t="s">
        <v>21</v>
      </c>
      <c r="F310" s="9">
        <v>0.43611111111111112</v>
      </c>
      <c r="G310" s="9">
        <v>0.9145833333333333</v>
      </c>
      <c r="H310" s="10">
        <f t="shared" si="8"/>
        <v>0.1027777777777778</v>
      </c>
      <c r="I310" s="10">
        <f t="shared" si="9"/>
        <v>0.47847222222222219</v>
      </c>
      <c r="J310" s="35">
        <f>IF($I$11&gt;Table4[[#This Row],[Working Hours]],$F$6-Table4[[#This Row],[Working Hours]],0)</f>
        <v>0</v>
      </c>
      <c r="K310" s="20" t="s">
        <v>239</v>
      </c>
    </row>
    <row r="311" spans="3:11" x14ac:dyDescent="0.25">
      <c r="C311" s="13" t="s">
        <v>34</v>
      </c>
      <c r="D311" s="8">
        <v>45807</v>
      </c>
      <c r="E311" s="7" t="s">
        <v>22</v>
      </c>
      <c r="F311" s="9"/>
      <c r="G311" s="9"/>
      <c r="H311" s="10">
        <f t="shared" si="8"/>
        <v>0</v>
      </c>
      <c r="I311" s="10">
        <f t="shared" si="9"/>
        <v>0</v>
      </c>
      <c r="J311" s="35">
        <f>IF($I$11&gt;Table4[[#This Row],[Working Hours]],$F$6-Table4[[#This Row],[Working Hours]],0)</f>
        <v>0.33333333333333331</v>
      </c>
      <c r="K311" s="20" t="s">
        <v>238</v>
      </c>
    </row>
    <row r="312" spans="3:11" x14ac:dyDescent="0.25">
      <c r="C312" s="13" t="s">
        <v>34</v>
      </c>
      <c r="D312" s="8">
        <v>45808</v>
      </c>
      <c r="E312" s="7" t="s">
        <v>18</v>
      </c>
      <c r="F312" s="9">
        <v>0.45416666666666666</v>
      </c>
      <c r="G312" s="9">
        <v>0.89097222222222217</v>
      </c>
      <c r="H312" s="10">
        <f t="shared" si="8"/>
        <v>0.12083333333333335</v>
      </c>
      <c r="I312" s="10">
        <f t="shared" si="9"/>
        <v>0.4368055555555555</v>
      </c>
      <c r="J312" s="35">
        <f>IF($I$11&gt;Table4[[#This Row],[Working Hours]],$F$6-Table4[[#This Row],[Working Hours]],0)</f>
        <v>0</v>
      </c>
      <c r="K312" s="20" t="s">
        <v>239</v>
      </c>
    </row>
    <row r="313" spans="3:11" x14ac:dyDescent="0.25">
      <c r="C313" s="13" t="s">
        <v>58</v>
      </c>
      <c r="D313" s="8">
        <v>45658</v>
      </c>
      <c r="E313" s="7" t="s">
        <v>19</v>
      </c>
      <c r="F313" s="9">
        <v>0.4597222222222222</v>
      </c>
      <c r="G313" s="9">
        <v>0.87152777777777779</v>
      </c>
      <c r="H313" s="10">
        <f t="shared" si="8"/>
        <v>0.12638888888888888</v>
      </c>
      <c r="I313" s="10">
        <f t="shared" si="9"/>
        <v>0.41180555555555559</v>
      </c>
      <c r="J313" s="35">
        <f>IF($I$11&gt;Table4[[#This Row],[Working Hours]],$F$6-Table4[[#This Row],[Working Hours]],0)</f>
        <v>0</v>
      </c>
      <c r="K313" s="20" t="s">
        <v>239</v>
      </c>
    </row>
    <row r="314" spans="3:11" x14ac:dyDescent="0.25">
      <c r="C314" s="13" t="s">
        <v>58</v>
      </c>
      <c r="D314" s="8">
        <v>45659</v>
      </c>
      <c r="E314" s="7" t="s">
        <v>7</v>
      </c>
      <c r="F314" s="9"/>
      <c r="G314" s="9"/>
      <c r="H314" s="10">
        <f t="shared" si="8"/>
        <v>0</v>
      </c>
      <c r="I314" s="10">
        <f t="shared" si="9"/>
        <v>0</v>
      </c>
      <c r="J314" s="35">
        <f>IF($I$11&gt;Table4[[#This Row],[Working Hours]],$F$6-Table4[[#This Row],[Working Hours]],0)</f>
        <v>0.33333333333333331</v>
      </c>
      <c r="K314" s="20" t="s">
        <v>240</v>
      </c>
    </row>
    <row r="315" spans="3:11" x14ac:dyDescent="0.25">
      <c r="C315" s="13" t="s">
        <v>58</v>
      </c>
      <c r="D315" s="8">
        <v>45660</v>
      </c>
      <c r="E315" s="7" t="s">
        <v>8</v>
      </c>
      <c r="F315" s="9"/>
      <c r="G315" s="9"/>
      <c r="H315" s="10">
        <f t="shared" si="8"/>
        <v>0</v>
      </c>
      <c r="I315" s="10">
        <f t="shared" si="9"/>
        <v>0</v>
      </c>
      <c r="J315" s="35">
        <f>IF($I$11&gt;Table4[[#This Row],[Working Hours]],$F$6-Table4[[#This Row],[Working Hours]],0)</f>
        <v>0.33333333333333331</v>
      </c>
      <c r="K315" s="20" t="s">
        <v>240</v>
      </c>
    </row>
    <row r="316" spans="3:11" x14ac:dyDescent="0.25">
      <c r="C316" s="13" t="s">
        <v>58</v>
      </c>
      <c r="D316" s="8">
        <v>45661</v>
      </c>
      <c r="E316" s="7" t="s">
        <v>20</v>
      </c>
      <c r="F316" s="9">
        <v>0.4458333333333333</v>
      </c>
      <c r="G316" s="9">
        <v>0.95000000000000007</v>
      </c>
      <c r="H316" s="10">
        <f t="shared" si="8"/>
        <v>0.11249999999999999</v>
      </c>
      <c r="I316" s="10">
        <f t="shared" si="9"/>
        <v>0.50416666666666676</v>
      </c>
      <c r="J316" s="35">
        <f>IF($I$11&gt;Table4[[#This Row],[Working Hours]],$F$6-Table4[[#This Row],[Working Hours]],0)</f>
        <v>0</v>
      </c>
      <c r="K316" s="20" t="s">
        <v>239</v>
      </c>
    </row>
    <row r="317" spans="3:11" x14ac:dyDescent="0.25">
      <c r="C317" s="13" t="s">
        <v>58</v>
      </c>
      <c r="D317" s="8">
        <v>45662</v>
      </c>
      <c r="E317" s="7" t="s">
        <v>21</v>
      </c>
      <c r="F317" s="9">
        <v>0.3979166666666667</v>
      </c>
      <c r="G317" s="9">
        <v>0.89027777777777783</v>
      </c>
      <c r="H317" s="10">
        <f t="shared" si="8"/>
        <v>6.4583333333333381E-2</v>
      </c>
      <c r="I317" s="10">
        <f t="shared" si="9"/>
        <v>0.49236111111111114</v>
      </c>
      <c r="J317" s="35">
        <f>IF($I$11&gt;Table4[[#This Row],[Working Hours]],$F$6-Table4[[#This Row],[Working Hours]],0)</f>
        <v>0</v>
      </c>
      <c r="K317" s="20" t="s">
        <v>239</v>
      </c>
    </row>
    <row r="318" spans="3:11" x14ac:dyDescent="0.25">
      <c r="C318" s="13" t="s">
        <v>58</v>
      </c>
      <c r="D318" s="8">
        <v>45663</v>
      </c>
      <c r="E318" s="7" t="s">
        <v>22</v>
      </c>
      <c r="F318" s="9">
        <v>0.46666666666666662</v>
      </c>
      <c r="G318" s="9">
        <v>0.99305555555555547</v>
      </c>
      <c r="H318" s="10">
        <f t="shared" si="8"/>
        <v>0.1333333333333333</v>
      </c>
      <c r="I318" s="10">
        <f t="shared" si="9"/>
        <v>0.5263888888888888</v>
      </c>
      <c r="J318" s="35">
        <f>IF($I$11&gt;Table4[[#This Row],[Working Hours]],$F$6-Table4[[#This Row],[Working Hours]],0)</f>
        <v>0</v>
      </c>
      <c r="K318" s="20" t="s">
        <v>239</v>
      </c>
    </row>
    <row r="319" spans="3:11" x14ac:dyDescent="0.25">
      <c r="C319" s="13" t="s">
        <v>58</v>
      </c>
      <c r="D319" s="8">
        <v>45664</v>
      </c>
      <c r="E319" s="7" t="s">
        <v>18</v>
      </c>
      <c r="F319" s="9">
        <v>0.38750000000000001</v>
      </c>
      <c r="G319" s="9">
        <v>0.88958333333333339</v>
      </c>
      <c r="H319" s="10">
        <f t="shared" si="8"/>
        <v>5.4166666666666696E-2</v>
      </c>
      <c r="I319" s="10">
        <f t="shared" si="9"/>
        <v>0.50208333333333344</v>
      </c>
      <c r="J319" s="35">
        <f>IF($I$11&gt;Table4[[#This Row],[Working Hours]],$F$6-Table4[[#This Row],[Working Hours]],0)</f>
        <v>0</v>
      </c>
      <c r="K319" s="20" t="s">
        <v>239</v>
      </c>
    </row>
    <row r="320" spans="3:11" x14ac:dyDescent="0.25">
      <c r="C320" s="13" t="s">
        <v>58</v>
      </c>
      <c r="D320" s="8">
        <v>45665</v>
      </c>
      <c r="E320" s="7" t="s">
        <v>19</v>
      </c>
      <c r="F320" s="9">
        <v>0.45694444444444443</v>
      </c>
      <c r="G320" s="9">
        <v>0.86041666666666661</v>
      </c>
      <c r="H320" s="10">
        <f t="shared" si="8"/>
        <v>0.12361111111111112</v>
      </c>
      <c r="I320" s="10">
        <f t="shared" si="9"/>
        <v>0.40347222222222218</v>
      </c>
      <c r="J320" s="35">
        <f>IF($I$11&gt;Table4[[#This Row],[Working Hours]],$F$6-Table4[[#This Row],[Working Hours]],0)</f>
        <v>0</v>
      </c>
      <c r="K320" s="20" t="s">
        <v>239</v>
      </c>
    </row>
    <row r="321" spans="3:11" x14ac:dyDescent="0.25">
      <c r="C321" s="13" t="s">
        <v>58</v>
      </c>
      <c r="D321" s="8">
        <v>45666</v>
      </c>
      <c r="E321" s="7" t="s">
        <v>7</v>
      </c>
      <c r="F321" s="9"/>
      <c r="G321" s="9"/>
      <c r="H321" s="10">
        <f t="shared" si="8"/>
        <v>0</v>
      </c>
      <c r="I321" s="10">
        <f t="shared" si="9"/>
        <v>0</v>
      </c>
      <c r="J321" s="35">
        <f>IF($I$11&gt;Table4[[#This Row],[Working Hours]],$F$6-Table4[[#This Row],[Working Hours]],0)</f>
        <v>0.33333333333333331</v>
      </c>
      <c r="K321" s="20" t="s">
        <v>240</v>
      </c>
    </row>
    <row r="322" spans="3:11" x14ac:dyDescent="0.25">
      <c r="C322" s="13" t="s">
        <v>58</v>
      </c>
      <c r="D322" s="8">
        <v>45667</v>
      </c>
      <c r="E322" s="7" t="s">
        <v>8</v>
      </c>
      <c r="F322" s="9"/>
      <c r="G322" s="9"/>
      <c r="H322" s="10">
        <f t="shared" si="8"/>
        <v>0</v>
      </c>
      <c r="I322" s="10">
        <f t="shared" si="9"/>
        <v>0</v>
      </c>
      <c r="J322" s="35">
        <f>IF($I$11&gt;Table4[[#This Row],[Working Hours]],$F$6-Table4[[#This Row],[Working Hours]],0)</f>
        <v>0.33333333333333331</v>
      </c>
      <c r="K322" s="20" t="s">
        <v>240</v>
      </c>
    </row>
    <row r="323" spans="3:11" x14ac:dyDescent="0.25">
      <c r="C323" s="13" t="s">
        <v>58</v>
      </c>
      <c r="D323" s="8">
        <v>45668</v>
      </c>
      <c r="E323" s="7" t="s">
        <v>20</v>
      </c>
      <c r="F323" s="9">
        <v>0.32291666666666669</v>
      </c>
      <c r="G323" s="9">
        <v>0.8520833333333333</v>
      </c>
      <c r="H323" s="10">
        <f t="shared" si="8"/>
        <v>0</v>
      </c>
      <c r="I323" s="10">
        <f t="shared" si="9"/>
        <v>0.52916666666666656</v>
      </c>
      <c r="J323" s="35">
        <f>IF($I$11&gt;Table4[[#This Row],[Working Hours]],$F$6-Table4[[#This Row],[Working Hours]],0)</f>
        <v>0</v>
      </c>
      <c r="K323" s="20" t="s">
        <v>239</v>
      </c>
    </row>
    <row r="324" spans="3:11" x14ac:dyDescent="0.25">
      <c r="C324" s="13" t="s">
        <v>58</v>
      </c>
      <c r="D324" s="8">
        <v>45669</v>
      </c>
      <c r="E324" s="7" t="s">
        <v>21</v>
      </c>
      <c r="F324" s="9">
        <v>0.33194444444444443</v>
      </c>
      <c r="G324" s="9">
        <v>0.87361111111111101</v>
      </c>
      <c r="H324" s="10">
        <f t="shared" si="8"/>
        <v>0</v>
      </c>
      <c r="I324" s="10">
        <f t="shared" si="9"/>
        <v>0.54166666666666652</v>
      </c>
      <c r="J324" s="35">
        <f>IF($I$11&gt;Table4[[#This Row],[Working Hours]],$F$6-Table4[[#This Row],[Working Hours]],0)</f>
        <v>0</v>
      </c>
      <c r="K324" s="20" t="s">
        <v>239</v>
      </c>
    </row>
    <row r="325" spans="3:11" x14ac:dyDescent="0.25">
      <c r="C325" s="13" t="s">
        <v>58</v>
      </c>
      <c r="D325" s="8">
        <v>45670</v>
      </c>
      <c r="E325" s="7" t="s">
        <v>22</v>
      </c>
      <c r="F325" s="9">
        <v>0.35694444444444445</v>
      </c>
      <c r="G325" s="9">
        <v>0.86041666666666661</v>
      </c>
      <c r="H325" s="10">
        <f t="shared" si="8"/>
        <v>2.3611111111111138E-2</v>
      </c>
      <c r="I325" s="10">
        <f t="shared" si="9"/>
        <v>0.5034722222222221</v>
      </c>
      <c r="J325" s="35">
        <f>IF($I$11&gt;Table4[[#This Row],[Working Hours]],$F$6-Table4[[#This Row],[Working Hours]],0)</f>
        <v>0</v>
      </c>
      <c r="K325" s="20" t="s">
        <v>239</v>
      </c>
    </row>
    <row r="326" spans="3:11" x14ac:dyDescent="0.25">
      <c r="C326" s="13" t="s">
        <v>58</v>
      </c>
      <c r="D326" s="8">
        <v>45671</v>
      </c>
      <c r="E326" s="7" t="s">
        <v>18</v>
      </c>
      <c r="F326" s="9">
        <v>0.2986111111111111</v>
      </c>
      <c r="G326" s="9">
        <v>0.84444444444444444</v>
      </c>
      <c r="H326" s="10">
        <f t="shared" si="8"/>
        <v>0</v>
      </c>
      <c r="I326" s="10">
        <f t="shared" si="9"/>
        <v>0.54583333333333339</v>
      </c>
      <c r="J326" s="35">
        <f>IF($I$11&gt;Table4[[#This Row],[Working Hours]],$F$6-Table4[[#This Row],[Working Hours]],0)</f>
        <v>0</v>
      </c>
      <c r="K326" s="20" t="s">
        <v>72</v>
      </c>
    </row>
    <row r="327" spans="3:11" x14ac:dyDescent="0.25">
      <c r="C327" s="13" t="s">
        <v>58</v>
      </c>
      <c r="D327" s="8">
        <v>45672</v>
      </c>
      <c r="E327" s="7" t="s">
        <v>19</v>
      </c>
      <c r="F327" s="9">
        <v>0.43124999999999997</v>
      </c>
      <c r="G327" s="9">
        <v>0.97430555555555554</v>
      </c>
      <c r="H327" s="10">
        <f t="shared" si="8"/>
        <v>9.7916666666666652E-2</v>
      </c>
      <c r="I327" s="10">
        <f t="shared" si="9"/>
        <v>0.54305555555555562</v>
      </c>
      <c r="J327" s="35">
        <f>IF($I$11&gt;Table4[[#This Row],[Working Hours]],$F$6-Table4[[#This Row],[Working Hours]],0)</f>
        <v>0</v>
      </c>
      <c r="K327" s="20" t="s">
        <v>239</v>
      </c>
    </row>
    <row r="328" spans="3:11" x14ac:dyDescent="0.25">
      <c r="C328" s="13" t="s">
        <v>58</v>
      </c>
      <c r="D328" s="8">
        <v>45673</v>
      </c>
      <c r="E328" s="7" t="s">
        <v>7</v>
      </c>
      <c r="F328" s="9"/>
      <c r="G328" s="9"/>
      <c r="H328" s="10">
        <f t="shared" si="8"/>
        <v>0</v>
      </c>
      <c r="I328" s="10">
        <f t="shared" si="9"/>
        <v>0</v>
      </c>
      <c r="J328" s="35">
        <f>IF($I$11&gt;Table4[[#This Row],[Working Hours]],$F$6-Table4[[#This Row],[Working Hours]],0)</f>
        <v>0.33333333333333331</v>
      </c>
      <c r="K328" s="20" t="s">
        <v>240</v>
      </c>
    </row>
    <row r="329" spans="3:11" x14ac:dyDescent="0.25">
      <c r="C329" s="13" t="s">
        <v>58</v>
      </c>
      <c r="D329" s="8">
        <v>45674</v>
      </c>
      <c r="E329" s="7" t="s">
        <v>8</v>
      </c>
      <c r="F329" s="9"/>
      <c r="G329" s="9"/>
      <c r="H329" s="10">
        <f t="shared" si="8"/>
        <v>0</v>
      </c>
      <c r="I329" s="10">
        <f t="shared" si="9"/>
        <v>0</v>
      </c>
      <c r="J329" s="35">
        <f>IF($I$11&gt;Table4[[#This Row],[Working Hours]],$F$6-Table4[[#This Row],[Working Hours]],0)</f>
        <v>0.33333333333333331</v>
      </c>
      <c r="K329" s="20" t="s">
        <v>240</v>
      </c>
    </row>
    <row r="330" spans="3:11" x14ac:dyDescent="0.25">
      <c r="C330" s="13" t="s">
        <v>58</v>
      </c>
      <c r="D330" s="8">
        <v>45675</v>
      </c>
      <c r="E330" s="7" t="s">
        <v>20</v>
      </c>
      <c r="F330" s="9">
        <v>0.31180555555555556</v>
      </c>
      <c r="G330" s="9">
        <v>0.98263888888888884</v>
      </c>
      <c r="H330" s="10">
        <f t="shared" si="8"/>
        <v>0</v>
      </c>
      <c r="I330" s="10">
        <f t="shared" si="9"/>
        <v>0.67083333333333328</v>
      </c>
      <c r="J330" s="35">
        <f>IF($I$11&gt;Table4[[#This Row],[Working Hours]],$F$6-Table4[[#This Row],[Working Hours]],0)</f>
        <v>0</v>
      </c>
      <c r="K330" s="20" t="s">
        <v>239</v>
      </c>
    </row>
    <row r="331" spans="3:11" x14ac:dyDescent="0.25">
      <c r="C331" s="13" t="s">
        <v>58</v>
      </c>
      <c r="D331" s="8">
        <v>45676</v>
      </c>
      <c r="E331" s="7" t="s">
        <v>21</v>
      </c>
      <c r="F331" s="9">
        <v>0.30138888888888887</v>
      </c>
      <c r="G331" s="9">
        <v>0.93611111111111101</v>
      </c>
      <c r="H331" s="10">
        <f t="shared" si="8"/>
        <v>0</v>
      </c>
      <c r="I331" s="10">
        <f t="shared" si="9"/>
        <v>0.63472222222222219</v>
      </c>
      <c r="J331" s="35">
        <f>IF($I$11&gt;Table4[[#This Row],[Working Hours]],$F$6-Table4[[#This Row],[Working Hours]],0)</f>
        <v>0</v>
      </c>
      <c r="K331" s="20" t="s">
        <v>239</v>
      </c>
    </row>
    <row r="332" spans="3:11" x14ac:dyDescent="0.25">
      <c r="C332" s="13" t="s">
        <v>58</v>
      </c>
      <c r="D332" s="8">
        <v>45677</v>
      </c>
      <c r="E332" s="7" t="s">
        <v>22</v>
      </c>
      <c r="F332" s="9">
        <v>0.4458333333333333</v>
      </c>
      <c r="G332" s="9">
        <v>0.86319444444444438</v>
      </c>
      <c r="H332" s="10">
        <f t="shared" ref="H332:H395" si="10">IF($F332&gt;$F$6,$F332-$F$6,0)</f>
        <v>0.11249999999999999</v>
      </c>
      <c r="I332" s="10">
        <f t="shared" ref="I332:I395" si="11">$G332-$F332</f>
        <v>0.41736111111111107</v>
      </c>
      <c r="J332" s="35">
        <f>IF($I$11&gt;Table4[[#This Row],[Working Hours]],$F$6-Table4[[#This Row],[Working Hours]],0)</f>
        <v>0</v>
      </c>
      <c r="K332" s="20" t="s">
        <v>239</v>
      </c>
    </row>
    <row r="333" spans="3:11" x14ac:dyDescent="0.25">
      <c r="C333" s="13" t="s">
        <v>58</v>
      </c>
      <c r="D333" s="8">
        <v>45678</v>
      </c>
      <c r="E333" s="7" t="s">
        <v>18</v>
      </c>
      <c r="F333" s="9">
        <v>0.40069444444444446</v>
      </c>
      <c r="G333" s="9">
        <v>0.9</v>
      </c>
      <c r="H333" s="10">
        <f t="shared" si="10"/>
        <v>6.7361111111111149E-2</v>
      </c>
      <c r="I333" s="10">
        <f t="shared" si="11"/>
        <v>0.49930555555555556</v>
      </c>
      <c r="J333" s="35">
        <f>IF($I$11&gt;Table4[[#This Row],[Working Hours]],$F$6-Table4[[#This Row],[Working Hours]],0)</f>
        <v>0</v>
      </c>
      <c r="K333" s="20" t="s">
        <v>239</v>
      </c>
    </row>
    <row r="334" spans="3:11" x14ac:dyDescent="0.25">
      <c r="C334" s="13" t="s">
        <v>58</v>
      </c>
      <c r="D334" s="8">
        <v>45679</v>
      </c>
      <c r="E334" s="7" t="s">
        <v>19</v>
      </c>
      <c r="F334" s="9">
        <v>0.45555555555555555</v>
      </c>
      <c r="G334" s="9">
        <v>0.93055555555555547</v>
      </c>
      <c r="H334" s="10">
        <f t="shared" si="10"/>
        <v>0.12222222222222223</v>
      </c>
      <c r="I334" s="10">
        <f t="shared" si="11"/>
        <v>0.47499999999999992</v>
      </c>
      <c r="J334" s="35">
        <f>IF($I$11&gt;Table4[[#This Row],[Working Hours]],$F$6-Table4[[#This Row],[Working Hours]],0)</f>
        <v>0</v>
      </c>
      <c r="K334" s="20" t="s">
        <v>239</v>
      </c>
    </row>
    <row r="335" spans="3:11" x14ac:dyDescent="0.25">
      <c r="C335" s="13" t="s">
        <v>58</v>
      </c>
      <c r="D335" s="8">
        <v>45680</v>
      </c>
      <c r="E335" s="7" t="s">
        <v>7</v>
      </c>
      <c r="F335" s="9"/>
      <c r="G335" s="9"/>
      <c r="H335" s="10">
        <f t="shared" si="10"/>
        <v>0</v>
      </c>
      <c r="I335" s="10">
        <f t="shared" si="11"/>
        <v>0</v>
      </c>
      <c r="J335" s="35">
        <f>IF($I$11&gt;Table4[[#This Row],[Working Hours]],$F$6-Table4[[#This Row],[Working Hours]],0)</f>
        <v>0.33333333333333331</v>
      </c>
      <c r="K335" s="20" t="s">
        <v>240</v>
      </c>
    </row>
    <row r="336" spans="3:11" x14ac:dyDescent="0.25">
      <c r="C336" s="13" t="s">
        <v>58</v>
      </c>
      <c r="D336" s="8">
        <v>45681</v>
      </c>
      <c r="E336" s="7" t="s">
        <v>8</v>
      </c>
      <c r="F336" s="9"/>
      <c r="G336" s="9"/>
      <c r="H336" s="10">
        <f t="shared" si="10"/>
        <v>0</v>
      </c>
      <c r="I336" s="10">
        <f t="shared" si="11"/>
        <v>0</v>
      </c>
      <c r="J336" s="35">
        <f>IF($I$11&gt;Table4[[#This Row],[Working Hours]],$F$6-Table4[[#This Row],[Working Hours]],0)</f>
        <v>0.33333333333333331</v>
      </c>
      <c r="K336" s="20" t="s">
        <v>240</v>
      </c>
    </row>
    <row r="337" spans="3:11" x14ac:dyDescent="0.25">
      <c r="C337" s="13" t="s">
        <v>58</v>
      </c>
      <c r="D337" s="8">
        <v>45682</v>
      </c>
      <c r="E337" s="7" t="s">
        <v>20</v>
      </c>
      <c r="F337" s="9">
        <v>0.49861111111111112</v>
      </c>
      <c r="G337" s="9">
        <v>0.86944444444444446</v>
      </c>
      <c r="H337" s="10">
        <f t="shared" si="10"/>
        <v>0.1652777777777778</v>
      </c>
      <c r="I337" s="10">
        <f t="shared" si="11"/>
        <v>0.37083333333333335</v>
      </c>
      <c r="J337" s="35">
        <v>0</v>
      </c>
      <c r="K337" s="20" t="s">
        <v>239</v>
      </c>
    </row>
    <row r="338" spans="3:11" x14ac:dyDescent="0.25">
      <c r="C338" s="13" t="s">
        <v>58</v>
      </c>
      <c r="D338" s="8">
        <v>45683</v>
      </c>
      <c r="E338" s="7" t="s">
        <v>21</v>
      </c>
      <c r="F338" s="9"/>
      <c r="G338" s="9"/>
      <c r="H338" s="10">
        <f t="shared" si="10"/>
        <v>0</v>
      </c>
      <c r="I338" s="10">
        <f t="shared" si="11"/>
        <v>0</v>
      </c>
      <c r="J338" s="35">
        <f>IF($I$11&gt;Table4[[#This Row],[Working Hours]],$F$6-Table4[[#This Row],[Working Hours]],0)</f>
        <v>0.33333333333333331</v>
      </c>
      <c r="K338" s="20" t="s">
        <v>241</v>
      </c>
    </row>
    <row r="339" spans="3:11" x14ac:dyDescent="0.25">
      <c r="C339" s="13" t="s">
        <v>58</v>
      </c>
      <c r="D339" s="8">
        <v>45684</v>
      </c>
      <c r="E339" s="7" t="s">
        <v>22</v>
      </c>
      <c r="F339" s="9">
        <v>0.47361111111111115</v>
      </c>
      <c r="G339" s="9">
        <v>0.88611111111111107</v>
      </c>
      <c r="H339" s="10">
        <f t="shared" si="10"/>
        <v>0.14027777777777783</v>
      </c>
      <c r="I339" s="10">
        <f t="shared" si="11"/>
        <v>0.41249999999999992</v>
      </c>
      <c r="J339" s="35">
        <f>IF($I$11&gt;Table4[[#This Row],[Working Hours]],$F$6-Table4[[#This Row],[Working Hours]],0)</f>
        <v>0</v>
      </c>
      <c r="K339" s="20" t="s">
        <v>239</v>
      </c>
    </row>
    <row r="340" spans="3:11" x14ac:dyDescent="0.25">
      <c r="C340" s="13" t="s">
        <v>58</v>
      </c>
      <c r="D340" s="8">
        <v>45685</v>
      </c>
      <c r="E340" s="7" t="s">
        <v>18</v>
      </c>
      <c r="F340" s="9">
        <v>0.47638888888888892</v>
      </c>
      <c r="G340" s="9">
        <v>0.85902777777777783</v>
      </c>
      <c r="H340" s="10">
        <f t="shared" si="10"/>
        <v>0.1430555555555556</v>
      </c>
      <c r="I340" s="10">
        <f t="shared" si="11"/>
        <v>0.38263888888888892</v>
      </c>
      <c r="J340" s="35">
        <v>0</v>
      </c>
      <c r="K340" s="20" t="s">
        <v>239</v>
      </c>
    </row>
    <row r="341" spans="3:11" x14ac:dyDescent="0.25">
      <c r="C341" s="13" t="s">
        <v>58</v>
      </c>
      <c r="D341" s="8">
        <v>45686</v>
      </c>
      <c r="E341" s="7" t="s">
        <v>19</v>
      </c>
      <c r="F341" s="9">
        <v>0.4152777777777778</v>
      </c>
      <c r="G341" s="9">
        <v>0.85416666666666663</v>
      </c>
      <c r="H341" s="10">
        <f t="shared" si="10"/>
        <v>8.1944444444444486E-2</v>
      </c>
      <c r="I341" s="10">
        <f t="shared" si="11"/>
        <v>0.43888888888888883</v>
      </c>
      <c r="J341" s="35">
        <f>IF($I$11&gt;Table4[[#This Row],[Working Hours]],$F$6-Table4[[#This Row],[Working Hours]],0)</f>
        <v>0</v>
      </c>
      <c r="K341" s="20" t="s">
        <v>239</v>
      </c>
    </row>
    <row r="342" spans="3:11" x14ac:dyDescent="0.25">
      <c r="C342" s="13" t="s">
        <v>58</v>
      </c>
      <c r="D342" s="8">
        <v>45687</v>
      </c>
      <c r="E342" s="7" t="s">
        <v>7</v>
      </c>
      <c r="F342" s="9"/>
      <c r="G342" s="9"/>
      <c r="H342" s="10">
        <f t="shared" si="10"/>
        <v>0</v>
      </c>
      <c r="I342" s="10">
        <f t="shared" si="11"/>
        <v>0</v>
      </c>
      <c r="J342" s="35">
        <f>IF($I$11&gt;Table4[[#This Row],[Working Hours]],$F$6-Table4[[#This Row],[Working Hours]],0)</f>
        <v>0.33333333333333331</v>
      </c>
      <c r="K342" s="20" t="s">
        <v>240</v>
      </c>
    </row>
    <row r="343" spans="3:11" x14ac:dyDescent="0.25">
      <c r="C343" s="13" t="s">
        <v>58</v>
      </c>
      <c r="D343" s="8">
        <v>45688</v>
      </c>
      <c r="E343" s="7" t="s">
        <v>8</v>
      </c>
      <c r="F343" s="9"/>
      <c r="G343" s="9"/>
      <c r="H343" s="10">
        <f t="shared" si="10"/>
        <v>0</v>
      </c>
      <c r="I343" s="10">
        <f t="shared" si="11"/>
        <v>0</v>
      </c>
      <c r="J343" s="35">
        <f>IF($I$11&gt;Table4[[#This Row],[Working Hours]],$F$6-Table4[[#This Row],[Working Hours]],0)</f>
        <v>0.33333333333333331</v>
      </c>
      <c r="K343" s="20" t="s">
        <v>240</v>
      </c>
    </row>
    <row r="344" spans="3:11" x14ac:dyDescent="0.25">
      <c r="C344" s="13" t="s">
        <v>58</v>
      </c>
      <c r="D344" s="8">
        <v>45689</v>
      </c>
      <c r="E344" s="7" t="s">
        <v>20</v>
      </c>
      <c r="F344" s="9">
        <v>0.42569444444444443</v>
      </c>
      <c r="G344" s="9">
        <v>0.8881944444444444</v>
      </c>
      <c r="H344" s="10">
        <f t="shared" si="10"/>
        <v>9.2361111111111116E-2</v>
      </c>
      <c r="I344" s="10">
        <f t="shared" si="11"/>
        <v>0.46249999999999997</v>
      </c>
      <c r="J344" s="35">
        <f>IF($I$11&gt;Table4[[#This Row],[Working Hours]],$F$6-Table4[[#This Row],[Working Hours]],0)</f>
        <v>0</v>
      </c>
      <c r="K344" s="20" t="s">
        <v>239</v>
      </c>
    </row>
    <row r="345" spans="3:11" x14ac:dyDescent="0.25">
      <c r="C345" s="13" t="s">
        <v>58</v>
      </c>
      <c r="D345" s="8">
        <v>45690</v>
      </c>
      <c r="E345" s="7" t="s">
        <v>21</v>
      </c>
      <c r="F345" s="9">
        <v>0.36874999999999997</v>
      </c>
      <c r="G345" s="9">
        <v>0.89236111111111116</v>
      </c>
      <c r="H345" s="10">
        <f t="shared" si="10"/>
        <v>3.5416666666666652E-2</v>
      </c>
      <c r="I345" s="10">
        <f t="shared" si="11"/>
        <v>0.52361111111111125</v>
      </c>
      <c r="J345" s="35">
        <f>IF($I$11&gt;Table4[[#This Row],[Working Hours]],$F$6-Table4[[#This Row],[Working Hours]],0)</f>
        <v>0</v>
      </c>
      <c r="K345" s="20" t="s">
        <v>239</v>
      </c>
    </row>
    <row r="346" spans="3:11" x14ac:dyDescent="0.25">
      <c r="C346" s="13" t="s">
        <v>58</v>
      </c>
      <c r="D346" s="8">
        <v>45691</v>
      </c>
      <c r="E346" s="7" t="s">
        <v>22</v>
      </c>
      <c r="F346" s="9">
        <v>0.39444444444444443</v>
      </c>
      <c r="G346" s="9">
        <v>0.99583333333333324</v>
      </c>
      <c r="H346" s="10">
        <f t="shared" si="10"/>
        <v>6.1111111111111116E-2</v>
      </c>
      <c r="I346" s="10">
        <f t="shared" si="11"/>
        <v>0.60138888888888875</v>
      </c>
      <c r="J346" s="35">
        <f>IF($I$11&gt;Table4[[#This Row],[Working Hours]],$F$6-Table4[[#This Row],[Working Hours]],0)</f>
        <v>0</v>
      </c>
      <c r="K346" s="20" t="s">
        <v>239</v>
      </c>
    </row>
    <row r="347" spans="3:11" x14ac:dyDescent="0.25">
      <c r="C347" s="13" t="s">
        <v>58</v>
      </c>
      <c r="D347" s="8">
        <v>45692</v>
      </c>
      <c r="E347" s="7" t="s">
        <v>18</v>
      </c>
      <c r="F347" s="9">
        <v>0.41875000000000001</v>
      </c>
      <c r="G347" s="9">
        <v>0.98958333333333337</v>
      </c>
      <c r="H347" s="10">
        <f t="shared" si="10"/>
        <v>8.5416666666666696E-2</v>
      </c>
      <c r="I347" s="10">
        <f t="shared" si="11"/>
        <v>0.5708333333333333</v>
      </c>
      <c r="J347" s="35">
        <f>IF($I$11&gt;Table4[[#This Row],[Working Hours]],$F$6-Table4[[#This Row],[Working Hours]],0)</f>
        <v>0</v>
      </c>
      <c r="K347" s="20" t="s">
        <v>239</v>
      </c>
    </row>
    <row r="348" spans="3:11" x14ac:dyDescent="0.25">
      <c r="C348" s="13" t="s">
        <v>58</v>
      </c>
      <c r="D348" s="8">
        <v>45693</v>
      </c>
      <c r="E348" s="7" t="s">
        <v>19</v>
      </c>
      <c r="F348" s="9">
        <v>0.46180555555555558</v>
      </c>
      <c r="G348" s="9">
        <v>0.98749999999999993</v>
      </c>
      <c r="H348" s="10">
        <f t="shared" si="10"/>
        <v>0.12847222222222227</v>
      </c>
      <c r="I348" s="10">
        <f t="shared" si="11"/>
        <v>0.52569444444444435</v>
      </c>
      <c r="J348" s="35">
        <f>IF($I$11&gt;Table4[[#This Row],[Working Hours]],$F$6-Table4[[#This Row],[Working Hours]],0)</f>
        <v>0</v>
      </c>
      <c r="K348" s="20" t="s">
        <v>239</v>
      </c>
    </row>
    <row r="349" spans="3:11" x14ac:dyDescent="0.25">
      <c r="C349" s="13" t="s">
        <v>58</v>
      </c>
      <c r="D349" s="8">
        <v>45694</v>
      </c>
      <c r="E349" s="7" t="s">
        <v>7</v>
      </c>
      <c r="F349" s="9"/>
      <c r="G349" s="9"/>
      <c r="H349" s="10">
        <f t="shared" si="10"/>
        <v>0</v>
      </c>
      <c r="I349" s="10">
        <f t="shared" si="11"/>
        <v>0</v>
      </c>
      <c r="J349" s="35">
        <f>IF($I$11&gt;Table4[[#This Row],[Working Hours]],$F$6-Table4[[#This Row],[Working Hours]],0)</f>
        <v>0.33333333333333331</v>
      </c>
      <c r="K349" s="20" t="s">
        <v>240</v>
      </c>
    </row>
    <row r="350" spans="3:11" x14ac:dyDescent="0.25">
      <c r="C350" s="13" t="s">
        <v>58</v>
      </c>
      <c r="D350" s="8">
        <v>45695</v>
      </c>
      <c r="E350" s="7" t="s">
        <v>8</v>
      </c>
      <c r="F350" s="9"/>
      <c r="G350" s="9"/>
      <c r="H350" s="10">
        <f t="shared" si="10"/>
        <v>0</v>
      </c>
      <c r="I350" s="10">
        <f t="shared" si="11"/>
        <v>0</v>
      </c>
      <c r="J350" s="35">
        <f>IF($I$11&gt;Table4[[#This Row],[Working Hours]],$F$6-Table4[[#This Row],[Working Hours]],0)</f>
        <v>0.33333333333333331</v>
      </c>
      <c r="K350" s="20" t="s">
        <v>240</v>
      </c>
    </row>
    <row r="351" spans="3:11" x14ac:dyDescent="0.25">
      <c r="C351" s="13" t="s">
        <v>58</v>
      </c>
      <c r="D351" s="8">
        <v>45696</v>
      </c>
      <c r="E351" s="7" t="s">
        <v>20</v>
      </c>
      <c r="F351" s="9">
        <v>0.47361111111111115</v>
      </c>
      <c r="G351" s="9">
        <v>0.94513888888888886</v>
      </c>
      <c r="H351" s="10">
        <f t="shared" si="10"/>
        <v>0.14027777777777783</v>
      </c>
      <c r="I351" s="10">
        <f t="shared" si="11"/>
        <v>0.47152777777777771</v>
      </c>
      <c r="J351" s="35">
        <f>IF($I$11&gt;Table4[[#This Row],[Working Hours]],$F$6-Table4[[#This Row],[Working Hours]],0)</f>
        <v>0</v>
      </c>
      <c r="K351" s="20" t="s">
        <v>239</v>
      </c>
    </row>
    <row r="352" spans="3:11" x14ac:dyDescent="0.25">
      <c r="C352" s="13" t="s">
        <v>58</v>
      </c>
      <c r="D352" s="8">
        <v>45697</v>
      </c>
      <c r="E352" s="7" t="s">
        <v>21</v>
      </c>
      <c r="F352" s="9">
        <v>0.42152777777777778</v>
      </c>
      <c r="G352" s="9">
        <v>0.98333333333333339</v>
      </c>
      <c r="H352" s="10">
        <f t="shared" si="10"/>
        <v>8.8194444444444464E-2</v>
      </c>
      <c r="I352" s="10">
        <f t="shared" si="11"/>
        <v>0.56180555555555567</v>
      </c>
      <c r="J352" s="35">
        <f>IF($I$11&gt;Table4[[#This Row],[Working Hours]],$F$6-Table4[[#This Row],[Working Hours]],0)</f>
        <v>0</v>
      </c>
      <c r="K352" s="20" t="s">
        <v>239</v>
      </c>
    </row>
    <row r="353" spans="3:11" x14ac:dyDescent="0.25">
      <c r="C353" s="13" t="s">
        <v>58</v>
      </c>
      <c r="D353" s="8">
        <v>45698</v>
      </c>
      <c r="E353" s="7" t="s">
        <v>22</v>
      </c>
      <c r="F353" s="9">
        <v>0.36249999999999999</v>
      </c>
      <c r="G353" s="9">
        <v>0.98749999999999993</v>
      </c>
      <c r="H353" s="10">
        <f t="shared" si="10"/>
        <v>2.9166666666666674E-2</v>
      </c>
      <c r="I353" s="10">
        <f t="shared" si="11"/>
        <v>0.625</v>
      </c>
      <c r="J353" s="35">
        <f>IF($I$11&gt;Table4[[#This Row],[Working Hours]],$F$6-Table4[[#This Row],[Working Hours]],0)</f>
        <v>0</v>
      </c>
      <c r="K353" s="20" t="s">
        <v>239</v>
      </c>
    </row>
    <row r="354" spans="3:11" x14ac:dyDescent="0.25">
      <c r="C354" s="13" t="s">
        <v>58</v>
      </c>
      <c r="D354" s="8">
        <v>45699</v>
      </c>
      <c r="E354" s="7" t="s">
        <v>18</v>
      </c>
      <c r="F354" s="9">
        <v>0.42569444444444443</v>
      </c>
      <c r="G354" s="9">
        <v>0.87152777777777779</v>
      </c>
      <c r="H354" s="10">
        <f t="shared" si="10"/>
        <v>9.2361111111111116E-2</v>
      </c>
      <c r="I354" s="10">
        <f t="shared" si="11"/>
        <v>0.44583333333333336</v>
      </c>
      <c r="J354" s="35">
        <f>IF($I$11&gt;Table4[[#This Row],[Working Hours]],$F$6-Table4[[#This Row],[Working Hours]],0)</f>
        <v>0</v>
      </c>
      <c r="K354" s="20" t="s">
        <v>239</v>
      </c>
    </row>
    <row r="355" spans="3:11" x14ac:dyDescent="0.25">
      <c r="C355" s="13" t="s">
        <v>58</v>
      </c>
      <c r="D355" s="8">
        <v>45700</v>
      </c>
      <c r="E355" s="7" t="s">
        <v>19</v>
      </c>
      <c r="F355" s="9">
        <v>0.44097222222222227</v>
      </c>
      <c r="G355" s="9">
        <v>0.91111111111111109</v>
      </c>
      <c r="H355" s="10">
        <f t="shared" si="10"/>
        <v>0.10763888888888895</v>
      </c>
      <c r="I355" s="10">
        <f t="shared" si="11"/>
        <v>0.47013888888888883</v>
      </c>
      <c r="J355" s="35">
        <f>IF($I$11&gt;Table4[[#This Row],[Working Hours]],$F$6-Table4[[#This Row],[Working Hours]],0)</f>
        <v>0</v>
      </c>
      <c r="K355" s="20" t="s">
        <v>239</v>
      </c>
    </row>
    <row r="356" spans="3:11" x14ac:dyDescent="0.25">
      <c r="C356" s="13" t="s">
        <v>58</v>
      </c>
      <c r="D356" s="8">
        <v>45701</v>
      </c>
      <c r="E356" s="7" t="s">
        <v>7</v>
      </c>
      <c r="F356" s="9"/>
      <c r="G356" s="9"/>
      <c r="H356" s="10">
        <f t="shared" si="10"/>
        <v>0</v>
      </c>
      <c r="I356" s="10">
        <f t="shared" si="11"/>
        <v>0</v>
      </c>
      <c r="J356" s="35">
        <f>IF($I$11&gt;Table4[[#This Row],[Working Hours]],$F$6-Table4[[#This Row],[Working Hours]],0)</f>
        <v>0.33333333333333331</v>
      </c>
      <c r="K356" s="20" t="s">
        <v>240</v>
      </c>
    </row>
    <row r="357" spans="3:11" x14ac:dyDescent="0.25">
      <c r="C357" s="13" t="s">
        <v>58</v>
      </c>
      <c r="D357" s="8">
        <v>45702</v>
      </c>
      <c r="E357" s="7" t="s">
        <v>8</v>
      </c>
      <c r="F357" s="9"/>
      <c r="G357" s="9"/>
      <c r="H357" s="10">
        <f t="shared" si="10"/>
        <v>0</v>
      </c>
      <c r="I357" s="10">
        <f t="shared" si="11"/>
        <v>0</v>
      </c>
      <c r="J357" s="35">
        <f>IF($I$11&gt;Table4[[#This Row],[Working Hours]],$F$6-Table4[[#This Row],[Working Hours]],0)</f>
        <v>0.33333333333333331</v>
      </c>
      <c r="K357" s="20" t="s">
        <v>240</v>
      </c>
    </row>
    <row r="358" spans="3:11" x14ac:dyDescent="0.25">
      <c r="C358" s="13" t="s">
        <v>58</v>
      </c>
      <c r="D358" s="8">
        <v>45703</v>
      </c>
      <c r="E358" s="7" t="s">
        <v>20</v>
      </c>
      <c r="F358" s="9">
        <v>0.44375000000000003</v>
      </c>
      <c r="G358" s="9">
        <v>0.87222222222222223</v>
      </c>
      <c r="H358" s="10">
        <f t="shared" si="10"/>
        <v>0.11041666666666672</v>
      </c>
      <c r="I358" s="10">
        <f t="shared" si="11"/>
        <v>0.4284722222222222</v>
      </c>
      <c r="J358" s="35">
        <f>IF($I$11&gt;Table4[[#This Row],[Working Hours]],$F$6-Table4[[#This Row],[Working Hours]],0)</f>
        <v>0</v>
      </c>
      <c r="K358" s="20" t="s">
        <v>239</v>
      </c>
    </row>
    <row r="359" spans="3:11" x14ac:dyDescent="0.25">
      <c r="C359" s="13" t="s">
        <v>58</v>
      </c>
      <c r="D359" s="8">
        <v>45704</v>
      </c>
      <c r="E359" s="7" t="s">
        <v>21</v>
      </c>
      <c r="F359" s="9">
        <v>0.43194444444444446</v>
      </c>
      <c r="G359" s="9">
        <v>0.9277777777777777</v>
      </c>
      <c r="H359" s="10">
        <f t="shared" si="10"/>
        <v>9.8611111111111149E-2</v>
      </c>
      <c r="I359" s="10">
        <f t="shared" si="11"/>
        <v>0.49583333333333324</v>
      </c>
      <c r="J359" s="35">
        <f>IF($I$11&gt;Table4[[#This Row],[Working Hours]],$F$6-Table4[[#This Row],[Working Hours]],0)</f>
        <v>0</v>
      </c>
      <c r="K359" s="20" t="s">
        <v>239</v>
      </c>
    </row>
    <row r="360" spans="3:11" x14ac:dyDescent="0.25">
      <c r="C360" s="13" t="s">
        <v>58</v>
      </c>
      <c r="D360" s="8">
        <v>45705</v>
      </c>
      <c r="E360" s="7" t="s">
        <v>22</v>
      </c>
      <c r="F360" s="9">
        <v>0.42777777777777781</v>
      </c>
      <c r="G360" s="9">
        <v>0.90069444444444446</v>
      </c>
      <c r="H360" s="10">
        <f t="shared" si="10"/>
        <v>9.4444444444444497E-2</v>
      </c>
      <c r="I360" s="10">
        <f t="shared" si="11"/>
        <v>0.47291666666666665</v>
      </c>
      <c r="J360" s="35">
        <f>IF($I$11&gt;Table4[[#This Row],[Working Hours]],$F$6-Table4[[#This Row],[Working Hours]],0)</f>
        <v>0</v>
      </c>
      <c r="K360" s="20" t="s">
        <v>239</v>
      </c>
    </row>
    <row r="361" spans="3:11" x14ac:dyDescent="0.25">
      <c r="C361" s="13" t="s">
        <v>58</v>
      </c>
      <c r="D361" s="8">
        <v>45706</v>
      </c>
      <c r="E361" s="7" t="s">
        <v>18</v>
      </c>
      <c r="F361" s="9">
        <v>0.46458333333333335</v>
      </c>
      <c r="G361" s="9">
        <v>0.99097222222222225</v>
      </c>
      <c r="H361" s="10">
        <f t="shared" si="10"/>
        <v>0.13125000000000003</v>
      </c>
      <c r="I361" s="10">
        <f t="shared" si="11"/>
        <v>0.52638888888888891</v>
      </c>
      <c r="J361" s="35">
        <f>IF($I$11&gt;Table4[[#This Row],[Working Hours]],$F$6-Table4[[#This Row],[Working Hours]],0)</f>
        <v>0</v>
      </c>
      <c r="K361" s="20" t="s">
        <v>239</v>
      </c>
    </row>
    <row r="362" spans="3:11" x14ac:dyDescent="0.25">
      <c r="C362" s="13" t="s">
        <v>58</v>
      </c>
      <c r="D362" s="8">
        <v>45707</v>
      </c>
      <c r="E362" s="7" t="s">
        <v>19</v>
      </c>
      <c r="F362" s="9">
        <v>0.38819444444444445</v>
      </c>
      <c r="G362" s="9">
        <v>0.85555555555555562</v>
      </c>
      <c r="H362" s="10">
        <f t="shared" si="10"/>
        <v>5.4861111111111138E-2</v>
      </c>
      <c r="I362" s="10">
        <f t="shared" si="11"/>
        <v>0.46736111111111117</v>
      </c>
      <c r="J362" s="35">
        <f>IF($I$11&gt;Table4[[#This Row],[Working Hours]],$F$6-Table4[[#This Row],[Working Hours]],0)</f>
        <v>0</v>
      </c>
      <c r="K362" s="20" t="s">
        <v>239</v>
      </c>
    </row>
    <row r="363" spans="3:11" x14ac:dyDescent="0.25">
      <c r="C363" s="13" t="s">
        <v>58</v>
      </c>
      <c r="D363" s="8">
        <v>45708</v>
      </c>
      <c r="E363" s="7" t="s">
        <v>7</v>
      </c>
      <c r="F363" s="9"/>
      <c r="G363" s="9"/>
      <c r="H363" s="10">
        <f t="shared" si="10"/>
        <v>0</v>
      </c>
      <c r="I363" s="10">
        <f t="shared" si="11"/>
        <v>0</v>
      </c>
      <c r="J363" s="35">
        <f>IF($I$11&gt;Table4[[#This Row],[Working Hours]],$F$6-Table4[[#This Row],[Working Hours]],0)</f>
        <v>0.33333333333333331</v>
      </c>
      <c r="K363" s="20" t="s">
        <v>240</v>
      </c>
    </row>
    <row r="364" spans="3:11" x14ac:dyDescent="0.25">
      <c r="C364" s="13" t="s">
        <v>58</v>
      </c>
      <c r="D364" s="8">
        <v>45709</v>
      </c>
      <c r="E364" s="7" t="s">
        <v>8</v>
      </c>
      <c r="F364" s="9"/>
      <c r="G364" s="9"/>
      <c r="H364" s="10">
        <f t="shared" si="10"/>
        <v>0</v>
      </c>
      <c r="I364" s="10">
        <f t="shared" si="11"/>
        <v>0</v>
      </c>
      <c r="J364" s="35">
        <f>IF($I$11&gt;Table4[[#This Row],[Working Hours]],$F$6-Table4[[#This Row],[Working Hours]],0)</f>
        <v>0.33333333333333331</v>
      </c>
      <c r="K364" s="20" t="s">
        <v>240</v>
      </c>
    </row>
    <row r="365" spans="3:11" x14ac:dyDescent="0.25">
      <c r="C365" s="13" t="s">
        <v>58</v>
      </c>
      <c r="D365" s="8">
        <v>45710</v>
      </c>
      <c r="E365" s="7" t="s">
        <v>20</v>
      </c>
      <c r="F365" s="9">
        <v>0.34166666666666662</v>
      </c>
      <c r="G365" s="9">
        <v>0.91249999999999998</v>
      </c>
      <c r="H365" s="10">
        <f t="shared" si="10"/>
        <v>8.3333333333333037E-3</v>
      </c>
      <c r="I365" s="10">
        <f t="shared" si="11"/>
        <v>0.5708333333333333</v>
      </c>
      <c r="J365" s="35">
        <f>IF($I$11&gt;Table4[[#This Row],[Working Hours]],$F$6-Table4[[#This Row],[Working Hours]],0)</f>
        <v>0</v>
      </c>
      <c r="K365" s="20" t="s">
        <v>239</v>
      </c>
    </row>
    <row r="366" spans="3:11" x14ac:dyDescent="0.25">
      <c r="C366" s="13" t="s">
        <v>58</v>
      </c>
      <c r="D366" s="8">
        <v>45711</v>
      </c>
      <c r="E366" s="7" t="s">
        <v>21</v>
      </c>
      <c r="F366" s="9">
        <v>0.31111111111111112</v>
      </c>
      <c r="G366" s="9">
        <v>0.86458333333333337</v>
      </c>
      <c r="H366" s="10">
        <f t="shared" si="10"/>
        <v>0</v>
      </c>
      <c r="I366" s="10">
        <f t="shared" si="11"/>
        <v>0.55347222222222225</v>
      </c>
      <c r="J366" s="35">
        <f>IF($I$11&gt;Table4[[#This Row],[Working Hours]],$F$6-Table4[[#This Row],[Working Hours]],0)</f>
        <v>0</v>
      </c>
      <c r="K366" s="20" t="s">
        <v>239</v>
      </c>
    </row>
    <row r="367" spans="3:11" x14ac:dyDescent="0.25">
      <c r="C367" s="13" t="s">
        <v>58</v>
      </c>
      <c r="D367" s="8">
        <v>45712</v>
      </c>
      <c r="E367" s="7" t="s">
        <v>22</v>
      </c>
      <c r="F367" s="9">
        <v>0.47152777777777777</v>
      </c>
      <c r="G367" s="9">
        <v>0.89374999999999993</v>
      </c>
      <c r="H367" s="10">
        <f t="shared" si="10"/>
        <v>0.13819444444444445</v>
      </c>
      <c r="I367" s="10">
        <f t="shared" si="11"/>
        <v>0.42222222222222217</v>
      </c>
      <c r="J367" s="35">
        <f>IF($I$11&gt;Table4[[#This Row],[Working Hours]],$F$6-Table4[[#This Row],[Working Hours]],0)</f>
        <v>0</v>
      </c>
      <c r="K367" s="20" t="s">
        <v>239</v>
      </c>
    </row>
    <row r="368" spans="3:11" x14ac:dyDescent="0.25">
      <c r="C368" s="13" t="s">
        <v>58</v>
      </c>
      <c r="D368" s="8">
        <v>45713</v>
      </c>
      <c r="E368" s="7" t="s">
        <v>18</v>
      </c>
      <c r="F368" s="9">
        <v>0.48125000000000001</v>
      </c>
      <c r="G368" s="9">
        <v>0.85833333333333339</v>
      </c>
      <c r="H368" s="10">
        <f t="shared" si="10"/>
        <v>0.1479166666666667</v>
      </c>
      <c r="I368" s="10">
        <f t="shared" si="11"/>
        <v>0.37708333333333338</v>
      </c>
      <c r="J368" s="35">
        <v>0</v>
      </c>
      <c r="K368" s="20" t="s">
        <v>239</v>
      </c>
    </row>
    <row r="369" spans="3:11" x14ac:dyDescent="0.25">
      <c r="C369" s="13" t="s">
        <v>58</v>
      </c>
      <c r="D369" s="8">
        <v>45714</v>
      </c>
      <c r="E369" s="7" t="s">
        <v>19</v>
      </c>
      <c r="F369" s="9">
        <v>0.3347222222222222</v>
      </c>
      <c r="G369" s="9">
        <v>0.88611111111111107</v>
      </c>
      <c r="H369" s="10">
        <f t="shared" si="10"/>
        <v>1.388888888888884E-3</v>
      </c>
      <c r="I369" s="10">
        <f t="shared" si="11"/>
        <v>0.55138888888888893</v>
      </c>
      <c r="J369" s="35">
        <f>IF($I$11&gt;Table4[[#This Row],[Working Hours]],$F$6-Table4[[#This Row],[Working Hours]],0)</f>
        <v>0</v>
      </c>
      <c r="K369" s="20" t="s">
        <v>239</v>
      </c>
    </row>
    <row r="370" spans="3:11" x14ac:dyDescent="0.25">
      <c r="C370" s="13" t="s">
        <v>58</v>
      </c>
      <c r="D370" s="8">
        <v>45715</v>
      </c>
      <c r="E370" s="7" t="s">
        <v>7</v>
      </c>
      <c r="F370" s="9"/>
      <c r="G370" s="9"/>
      <c r="H370" s="10">
        <f t="shared" si="10"/>
        <v>0</v>
      </c>
      <c r="I370" s="10">
        <f t="shared" si="11"/>
        <v>0</v>
      </c>
      <c r="J370" s="35">
        <f>IF($I$11&gt;Table4[[#This Row],[Working Hours]],$F$6-Table4[[#This Row],[Working Hours]],0)</f>
        <v>0.33333333333333331</v>
      </c>
      <c r="K370" s="20" t="s">
        <v>240</v>
      </c>
    </row>
    <row r="371" spans="3:11" x14ac:dyDescent="0.25">
      <c r="C371" s="13" t="s">
        <v>58</v>
      </c>
      <c r="D371" s="8">
        <v>45716</v>
      </c>
      <c r="E371" s="7" t="s">
        <v>8</v>
      </c>
      <c r="F371" s="9"/>
      <c r="G371" s="9"/>
      <c r="H371" s="10">
        <f t="shared" si="10"/>
        <v>0</v>
      </c>
      <c r="I371" s="10">
        <f t="shared" si="11"/>
        <v>0</v>
      </c>
      <c r="J371" s="35">
        <f>IF($I$11&gt;Table4[[#This Row],[Working Hours]],$F$6-Table4[[#This Row],[Working Hours]],0)</f>
        <v>0.33333333333333331</v>
      </c>
      <c r="K371" s="20" t="s">
        <v>240</v>
      </c>
    </row>
    <row r="372" spans="3:11" x14ac:dyDescent="0.25">
      <c r="C372" s="13" t="s">
        <v>58</v>
      </c>
      <c r="D372" s="8">
        <v>45717</v>
      </c>
      <c r="E372" s="7" t="s">
        <v>20</v>
      </c>
      <c r="F372" s="9">
        <v>0.44375000000000003</v>
      </c>
      <c r="G372" s="9">
        <v>0.9506944444444444</v>
      </c>
      <c r="H372" s="10">
        <f t="shared" si="10"/>
        <v>0.11041666666666672</v>
      </c>
      <c r="I372" s="10">
        <f t="shared" si="11"/>
        <v>0.50694444444444442</v>
      </c>
      <c r="J372" s="35">
        <f>IF($I$11&gt;Table4[[#This Row],[Working Hours]],$F$6-Table4[[#This Row],[Working Hours]],0)</f>
        <v>0</v>
      </c>
      <c r="K372" s="20" t="s">
        <v>239</v>
      </c>
    </row>
    <row r="373" spans="3:11" x14ac:dyDescent="0.25">
      <c r="C373" s="13" t="s">
        <v>58</v>
      </c>
      <c r="D373" s="8">
        <v>45718</v>
      </c>
      <c r="E373" s="7" t="s">
        <v>21</v>
      </c>
      <c r="F373" s="9"/>
      <c r="G373" s="9"/>
      <c r="H373" s="10">
        <f t="shared" si="10"/>
        <v>0</v>
      </c>
      <c r="I373" s="10">
        <f t="shared" si="11"/>
        <v>0</v>
      </c>
      <c r="J373" s="35">
        <f>IF($I$11&gt;Table4[[#This Row],[Working Hours]],$F$6-Table4[[#This Row],[Working Hours]],0)</f>
        <v>0.33333333333333331</v>
      </c>
      <c r="K373" s="20" t="s">
        <v>238</v>
      </c>
    </row>
    <row r="374" spans="3:11" x14ac:dyDescent="0.25">
      <c r="C374" s="13" t="s">
        <v>58</v>
      </c>
      <c r="D374" s="8">
        <v>45719</v>
      </c>
      <c r="E374" s="7" t="s">
        <v>22</v>
      </c>
      <c r="F374" s="9"/>
      <c r="G374" s="9"/>
      <c r="H374" s="10">
        <f t="shared" si="10"/>
        <v>0</v>
      </c>
      <c r="I374" s="10">
        <f t="shared" si="11"/>
        <v>0</v>
      </c>
      <c r="J374" s="35">
        <f>IF($I$11&gt;Table4[[#This Row],[Working Hours]],$F$6-Table4[[#This Row],[Working Hours]],0)</f>
        <v>0.33333333333333331</v>
      </c>
      <c r="K374" s="20" t="s">
        <v>238</v>
      </c>
    </row>
    <row r="375" spans="3:11" x14ac:dyDescent="0.25">
      <c r="C375" s="13" t="s">
        <v>58</v>
      </c>
      <c r="D375" s="8">
        <v>45720</v>
      </c>
      <c r="E375" s="7" t="s">
        <v>18</v>
      </c>
      <c r="F375" s="9"/>
      <c r="G375" s="9"/>
      <c r="H375" s="10">
        <f t="shared" si="10"/>
        <v>0</v>
      </c>
      <c r="I375" s="10">
        <f t="shared" si="11"/>
        <v>0</v>
      </c>
      <c r="J375" s="35">
        <f>IF($I$11&gt;Table4[[#This Row],[Working Hours]],$F$6-Table4[[#This Row],[Working Hours]],0)</f>
        <v>0.33333333333333331</v>
      </c>
      <c r="K375" s="20" t="s">
        <v>238</v>
      </c>
    </row>
    <row r="376" spans="3:11" x14ac:dyDescent="0.25">
      <c r="C376" s="13" t="s">
        <v>58</v>
      </c>
      <c r="D376" s="8">
        <v>45721</v>
      </c>
      <c r="E376" s="7" t="s">
        <v>19</v>
      </c>
      <c r="F376" s="9">
        <v>0.46458333333333335</v>
      </c>
      <c r="G376" s="9">
        <v>0.89097222222222217</v>
      </c>
      <c r="H376" s="10">
        <f t="shared" si="10"/>
        <v>0.13125000000000003</v>
      </c>
      <c r="I376" s="10">
        <f t="shared" si="11"/>
        <v>0.42638888888888882</v>
      </c>
      <c r="J376" s="35">
        <f>IF($I$11&gt;Table4[[#This Row],[Working Hours]],$F$6-Table4[[#This Row],[Working Hours]],0)</f>
        <v>0</v>
      </c>
      <c r="K376" s="20" t="s">
        <v>239</v>
      </c>
    </row>
    <row r="377" spans="3:11" x14ac:dyDescent="0.25">
      <c r="C377" s="13" t="s">
        <v>58</v>
      </c>
      <c r="D377" s="8">
        <v>45722</v>
      </c>
      <c r="E377" s="7" t="s">
        <v>7</v>
      </c>
      <c r="F377" s="9"/>
      <c r="G377" s="9"/>
      <c r="H377" s="10">
        <f t="shared" si="10"/>
        <v>0</v>
      </c>
      <c r="I377" s="10">
        <f t="shared" si="11"/>
        <v>0</v>
      </c>
      <c r="J377" s="35">
        <f>IF($I$11&gt;Table4[[#This Row],[Working Hours]],$F$6-Table4[[#This Row],[Working Hours]],0)</f>
        <v>0.33333333333333331</v>
      </c>
      <c r="K377" s="20" t="s">
        <v>240</v>
      </c>
    </row>
    <row r="378" spans="3:11" x14ac:dyDescent="0.25">
      <c r="C378" s="13" t="s">
        <v>58</v>
      </c>
      <c r="D378" s="8">
        <v>45723</v>
      </c>
      <c r="E378" s="7" t="s">
        <v>8</v>
      </c>
      <c r="F378" s="9"/>
      <c r="G378" s="9"/>
      <c r="H378" s="10">
        <f t="shared" si="10"/>
        <v>0</v>
      </c>
      <c r="I378" s="10">
        <f t="shared" si="11"/>
        <v>0</v>
      </c>
      <c r="J378" s="35">
        <f>IF($I$11&gt;Table4[[#This Row],[Working Hours]],$F$6-Table4[[#This Row],[Working Hours]],0)</f>
        <v>0.33333333333333331</v>
      </c>
      <c r="K378" s="20" t="s">
        <v>240</v>
      </c>
    </row>
    <row r="379" spans="3:11" x14ac:dyDescent="0.25">
      <c r="C379" s="13" t="s">
        <v>58</v>
      </c>
      <c r="D379" s="8">
        <v>45724</v>
      </c>
      <c r="E379" s="7" t="s">
        <v>20</v>
      </c>
      <c r="F379" s="9">
        <v>0.33333333333333331</v>
      </c>
      <c r="G379" s="9">
        <v>0.93472222222222223</v>
      </c>
      <c r="H379" s="10">
        <f t="shared" si="10"/>
        <v>0</v>
      </c>
      <c r="I379" s="10">
        <f t="shared" si="11"/>
        <v>0.60138888888888897</v>
      </c>
      <c r="J379" s="35">
        <f>IF($I$11&gt;Table4[[#This Row],[Working Hours]],$F$6-Table4[[#This Row],[Working Hours]],0)</f>
        <v>0</v>
      </c>
      <c r="K379" s="20" t="s">
        <v>239</v>
      </c>
    </row>
    <row r="380" spans="3:11" x14ac:dyDescent="0.25">
      <c r="C380" s="13" t="s">
        <v>58</v>
      </c>
      <c r="D380" s="8">
        <v>45725</v>
      </c>
      <c r="E380" s="7" t="s">
        <v>21</v>
      </c>
      <c r="F380" s="9">
        <v>0.49652777777777773</v>
      </c>
      <c r="G380" s="9">
        <v>0.84583333333333333</v>
      </c>
      <c r="H380" s="10">
        <f t="shared" si="10"/>
        <v>0.16319444444444442</v>
      </c>
      <c r="I380" s="10">
        <f t="shared" si="11"/>
        <v>0.34930555555555559</v>
      </c>
      <c r="J380" s="35">
        <v>0</v>
      </c>
      <c r="K380" s="20" t="s">
        <v>239</v>
      </c>
    </row>
    <row r="381" spans="3:11" x14ac:dyDescent="0.25">
      <c r="C381" s="13" t="s">
        <v>58</v>
      </c>
      <c r="D381" s="8">
        <v>45726</v>
      </c>
      <c r="E381" s="7" t="s">
        <v>22</v>
      </c>
      <c r="F381" s="9">
        <v>0.49236111111111108</v>
      </c>
      <c r="G381" s="9">
        <v>0.95416666666666661</v>
      </c>
      <c r="H381" s="10">
        <f t="shared" si="10"/>
        <v>0.15902777777777777</v>
      </c>
      <c r="I381" s="10">
        <f t="shared" si="11"/>
        <v>0.46180555555555552</v>
      </c>
      <c r="J381" s="35">
        <f>IF($I$11&gt;Table4[[#This Row],[Working Hours]],$F$6-Table4[[#This Row],[Working Hours]],0)</f>
        <v>0</v>
      </c>
      <c r="K381" s="20" t="s">
        <v>239</v>
      </c>
    </row>
    <row r="382" spans="3:11" x14ac:dyDescent="0.25">
      <c r="C382" s="13" t="s">
        <v>58</v>
      </c>
      <c r="D382" s="8">
        <v>45727</v>
      </c>
      <c r="E382" s="7" t="s">
        <v>18</v>
      </c>
      <c r="F382" s="9">
        <v>0.33958333333333335</v>
      </c>
      <c r="G382" s="9">
        <v>0.86041666666666661</v>
      </c>
      <c r="H382" s="10">
        <f t="shared" si="10"/>
        <v>6.2500000000000333E-3</v>
      </c>
      <c r="I382" s="10">
        <f t="shared" si="11"/>
        <v>0.52083333333333326</v>
      </c>
      <c r="J382" s="35">
        <f>IF($I$11&gt;Table4[[#This Row],[Working Hours]],$F$6-Table4[[#This Row],[Working Hours]],0)</f>
        <v>0</v>
      </c>
      <c r="K382" s="20" t="s">
        <v>239</v>
      </c>
    </row>
    <row r="383" spans="3:11" x14ac:dyDescent="0.25">
      <c r="C383" s="13" t="s">
        <v>58</v>
      </c>
      <c r="D383" s="8">
        <v>45728</v>
      </c>
      <c r="E383" s="7" t="s">
        <v>19</v>
      </c>
      <c r="F383" s="9">
        <v>0.35833333333333334</v>
      </c>
      <c r="G383" s="9">
        <v>0.91319444444444453</v>
      </c>
      <c r="H383" s="10">
        <f t="shared" si="10"/>
        <v>2.5000000000000022E-2</v>
      </c>
      <c r="I383" s="10">
        <f t="shared" si="11"/>
        <v>0.55486111111111125</v>
      </c>
      <c r="J383" s="35">
        <f>IF($I$11&gt;Table4[[#This Row],[Working Hours]],$F$6-Table4[[#This Row],[Working Hours]],0)</f>
        <v>0</v>
      </c>
      <c r="K383" s="20" t="s">
        <v>239</v>
      </c>
    </row>
    <row r="384" spans="3:11" x14ac:dyDescent="0.25">
      <c r="C384" s="13" t="s">
        <v>58</v>
      </c>
      <c r="D384" s="8">
        <v>45729</v>
      </c>
      <c r="E384" s="7" t="s">
        <v>7</v>
      </c>
      <c r="F384" s="9"/>
      <c r="G384" s="9"/>
      <c r="H384" s="10">
        <f t="shared" si="10"/>
        <v>0</v>
      </c>
      <c r="I384" s="10">
        <f t="shared" si="11"/>
        <v>0</v>
      </c>
      <c r="J384" s="35">
        <f>IF($I$11&gt;Table4[[#This Row],[Working Hours]],$F$6-Table4[[#This Row],[Working Hours]],0)</f>
        <v>0.33333333333333331</v>
      </c>
      <c r="K384" s="20" t="s">
        <v>240</v>
      </c>
    </row>
    <row r="385" spans="3:11" x14ac:dyDescent="0.25">
      <c r="C385" s="13" t="s">
        <v>58</v>
      </c>
      <c r="D385" s="8">
        <v>45730</v>
      </c>
      <c r="E385" s="7" t="s">
        <v>8</v>
      </c>
      <c r="F385" s="9"/>
      <c r="G385" s="9"/>
      <c r="H385" s="10">
        <f t="shared" si="10"/>
        <v>0</v>
      </c>
      <c r="I385" s="10">
        <f t="shared" si="11"/>
        <v>0</v>
      </c>
      <c r="J385" s="35">
        <f>IF($I$11&gt;Table4[[#This Row],[Working Hours]],$F$6-Table4[[#This Row],[Working Hours]],0)</f>
        <v>0.33333333333333331</v>
      </c>
      <c r="K385" s="20" t="s">
        <v>70</v>
      </c>
    </row>
    <row r="386" spans="3:11" x14ac:dyDescent="0.25">
      <c r="C386" s="13" t="s">
        <v>58</v>
      </c>
      <c r="D386" s="8">
        <v>45731</v>
      </c>
      <c r="E386" s="7" t="s">
        <v>20</v>
      </c>
      <c r="F386" s="9">
        <v>0.39583333333333331</v>
      </c>
      <c r="G386" s="9">
        <v>0.90555555555555556</v>
      </c>
      <c r="H386" s="10">
        <f t="shared" si="10"/>
        <v>6.25E-2</v>
      </c>
      <c r="I386" s="10">
        <f t="shared" si="11"/>
        <v>0.50972222222222219</v>
      </c>
      <c r="J386" s="35">
        <f>IF($I$11&gt;Table4[[#This Row],[Working Hours]],$F$6-Table4[[#This Row],[Working Hours]],0)</f>
        <v>0</v>
      </c>
      <c r="K386" s="20" t="s">
        <v>239</v>
      </c>
    </row>
    <row r="387" spans="3:11" x14ac:dyDescent="0.25">
      <c r="C387" s="13" t="s">
        <v>58</v>
      </c>
      <c r="D387" s="8">
        <v>45732</v>
      </c>
      <c r="E387" s="7" t="s">
        <v>21</v>
      </c>
      <c r="F387" s="9">
        <v>0.38958333333333334</v>
      </c>
      <c r="G387" s="9">
        <v>0.85902777777777783</v>
      </c>
      <c r="H387" s="10">
        <f t="shared" si="10"/>
        <v>5.6250000000000022E-2</v>
      </c>
      <c r="I387" s="10">
        <f t="shared" si="11"/>
        <v>0.4694444444444445</v>
      </c>
      <c r="J387" s="35">
        <f>IF($I$11&gt;Table4[[#This Row],[Working Hours]],$F$6-Table4[[#This Row],[Working Hours]],0)</f>
        <v>0</v>
      </c>
      <c r="K387" s="20" t="s">
        <v>239</v>
      </c>
    </row>
    <row r="388" spans="3:11" x14ac:dyDescent="0.25">
      <c r="C388" s="13" t="s">
        <v>58</v>
      </c>
      <c r="D388" s="8">
        <v>45733</v>
      </c>
      <c r="E388" s="7" t="s">
        <v>22</v>
      </c>
      <c r="F388" s="9">
        <v>0.32361111111111113</v>
      </c>
      <c r="G388" s="9">
        <v>0.87361111111111101</v>
      </c>
      <c r="H388" s="10">
        <f t="shared" si="10"/>
        <v>0</v>
      </c>
      <c r="I388" s="10">
        <f t="shared" si="11"/>
        <v>0.54999999999999982</v>
      </c>
      <c r="J388" s="35">
        <f>IF($I$11&gt;Table4[[#This Row],[Working Hours]],$F$6-Table4[[#This Row],[Working Hours]],0)</f>
        <v>0</v>
      </c>
      <c r="K388" s="20" t="s">
        <v>239</v>
      </c>
    </row>
    <row r="389" spans="3:11" x14ac:dyDescent="0.25">
      <c r="C389" s="13" t="s">
        <v>58</v>
      </c>
      <c r="D389" s="8">
        <v>45734</v>
      </c>
      <c r="E389" s="7" t="s">
        <v>18</v>
      </c>
      <c r="F389" s="9">
        <v>0.44930555555555557</v>
      </c>
      <c r="G389" s="9">
        <v>0.95138888888888884</v>
      </c>
      <c r="H389" s="10">
        <f t="shared" si="10"/>
        <v>0.11597222222222225</v>
      </c>
      <c r="I389" s="10">
        <f t="shared" si="11"/>
        <v>0.50208333333333321</v>
      </c>
      <c r="J389" s="35">
        <f>IF($I$11&gt;Table4[[#This Row],[Working Hours]],$F$6-Table4[[#This Row],[Working Hours]],0)</f>
        <v>0</v>
      </c>
      <c r="K389" s="20" t="s">
        <v>239</v>
      </c>
    </row>
    <row r="390" spans="3:11" x14ac:dyDescent="0.25">
      <c r="C390" s="13" t="s">
        <v>58</v>
      </c>
      <c r="D390" s="8">
        <v>45735</v>
      </c>
      <c r="E390" s="7" t="s">
        <v>19</v>
      </c>
      <c r="F390" s="9">
        <v>0.47569444444444442</v>
      </c>
      <c r="G390" s="9">
        <v>0.90694444444444444</v>
      </c>
      <c r="H390" s="10">
        <f t="shared" si="10"/>
        <v>0.1423611111111111</v>
      </c>
      <c r="I390" s="10">
        <f t="shared" si="11"/>
        <v>0.43125000000000002</v>
      </c>
      <c r="J390" s="35">
        <f>IF($I$11&gt;Table4[[#This Row],[Working Hours]],$F$6-Table4[[#This Row],[Working Hours]],0)</f>
        <v>0</v>
      </c>
      <c r="K390" s="20" t="s">
        <v>239</v>
      </c>
    </row>
    <row r="391" spans="3:11" x14ac:dyDescent="0.25">
      <c r="C391" s="13" t="s">
        <v>58</v>
      </c>
      <c r="D391" s="8">
        <v>45736</v>
      </c>
      <c r="E391" s="7" t="s">
        <v>7</v>
      </c>
      <c r="F391" s="9"/>
      <c r="G391" s="9"/>
      <c r="H391" s="10">
        <f t="shared" si="10"/>
        <v>0</v>
      </c>
      <c r="I391" s="10">
        <f t="shared" si="11"/>
        <v>0</v>
      </c>
      <c r="J391" s="35">
        <f>IF($I$11&gt;Table4[[#This Row],[Working Hours]],$F$6-Table4[[#This Row],[Working Hours]],0)</f>
        <v>0.33333333333333331</v>
      </c>
      <c r="K391" s="20" t="s">
        <v>240</v>
      </c>
    </row>
    <row r="392" spans="3:11" x14ac:dyDescent="0.25">
      <c r="C392" s="13" t="s">
        <v>58</v>
      </c>
      <c r="D392" s="8">
        <v>45737</v>
      </c>
      <c r="E392" s="7" t="s">
        <v>8</v>
      </c>
      <c r="F392" s="9"/>
      <c r="G392" s="9"/>
      <c r="H392" s="10">
        <f t="shared" si="10"/>
        <v>0</v>
      </c>
      <c r="I392" s="10">
        <f t="shared" si="11"/>
        <v>0</v>
      </c>
      <c r="J392" s="35">
        <f>IF($I$11&gt;Table4[[#This Row],[Working Hours]],$F$6-Table4[[#This Row],[Working Hours]],0)</f>
        <v>0.33333333333333331</v>
      </c>
      <c r="K392" s="20" t="s">
        <v>240</v>
      </c>
    </row>
    <row r="393" spans="3:11" x14ac:dyDescent="0.25">
      <c r="C393" s="13" t="s">
        <v>58</v>
      </c>
      <c r="D393" s="8">
        <v>45738</v>
      </c>
      <c r="E393" s="7" t="s">
        <v>20</v>
      </c>
      <c r="F393" s="9">
        <v>0.30902777777777779</v>
      </c>
      <c r="G393" s="9">
        <v>0.8666666666666667</v>
      </c>
      <c r="H393" s="10">
        <f t="shared" si="10"/>
        <v>0</v>
      </c>
      <c r="I393" s="10">
        <f t="shared" si="11"/>
        <v>0.55763888888888891</v>
      </c>
      <c r="J393" s="35">
        <f>IF($I$11&gt;Table4[[#This Row],[Working Hours]],$F$6-Table4[[#This Row],[Working Hours]],0)</f>
        <v>0</v>
      </c>
      <c r="K393" s="20" t="s">
        <v>239</v>
      </c>
    </row>
    <row r="394" spans="3:11" x14ac:dyDescent="0.25">
      <c r="C394" s="13" t="s">
        <v>58</v>
      </c>
      <c r="D394" s="8">
        <v>45739</v>
      </c>
      <c r="E394" s="7" t="s">
        <v>21</v>
      </c>
      <c r="F394" s="9">
        <v>0.31041666666666667</v>
      </c>
      <c r="G394" s="9">
        <v>0.97152777777777777</v>
      </c>
      <c r="H394" s="10">
        <f t="shared" si="10"/>
        <v>0</v>
      </c>
      <c r="I394" s="10">
        <f t="shared" si="11"/>
        <v>0.66111111111111109</v>
      </c>
      <c r="J394" s="35">
        <f>IF($I$11&gt;Table4[[#This Row],[Working Hours]],$F$6-Table4[[#This Row],[Working Hours]],0)</f>
        <v>0</v>
      </c>
      <c r="K394" s="20" t="s">
        <v>239</v>
      </c>
    </row>
    <row r="395" spans="3:11" x14ac:dyDescent="0.25">
      <c r="C395" s="13" t="s">
        <v>58</v>
      </c>
      <c r="D395" s="8">
        <v>45740</v>
      </c>
      <c r="E395" s="7" t="s">
        <v>22</v>
      </c>
      <c r="F395" s="9">
        <v>0.49861111111111112</v>
      </c>
      <c r="G395" s="9">
        <v>0.85902777777777783</v>
      </c>
      <c r="H395" s="10">
        <f t="shared" si="10"/>
        <v>0.1652777777777778</v>
      </c>
      <c r="I395" s="10">
        <f t="shared" si="11"/>
        <v>0.36041666666666672</v>
      </c>
      <c r="J395" s="35">
        <v>0</v>
      </c>
      <c r="K395" s="20" t="s">
        <v>239</v>
      </c>
    </row>
    <row r="396" spans="3:11" x14ac:dyDescent="0.25">
      <c r="C396" s="13" t="s">
        <v>58</v>
      </c>
      <c r="D396" s="8">
        <v>45741</v>
      </c>
      <c r="E396" s="7" t="s">
        <v>18</v>
      </c>
      <c r="F396" s="9">
        <v>0.40833333333333338</v>
      </c>
      <c r="G396" s="9">
        <v>0.85486111111111107</v>
      </c>
      <c r="H396" s="10">
        <f t="shared" ref="H396:H459" si="12">IF($F396&gt;$F$6,$F396-$F$6,0)</f>
        <v>7.5000000000000067E-2</v>
      </c>
      <c r="I396" s="10">
        <f t="shared" ref="I396:I459" si="13">$G396-$F396</f>
        <v>0.44652777777777769</v>
      </c>
      <c r="J396" s="35">
        <f>IF($I$11&gt;Table4[[#This Row],[Working Hours]],$F$6-Table4[[#This Row],[Working Hours]],0)</f>
        <v>0</v>
      </c>
      <c r="K396" s="20" t="s">
        <v>239</v>
      </c>
    </row>
    <row r="397" spans="3:11" x14ac:dyDescent="0.25">
      <c r="C397" s="13" t="s">
        <v>58</v>
      </c>
      <c r="D397" s="8">
        <v>45742</v>
      </c>
      <c r="E397" s="7" t="s">
        <v>19</v>
      </c>
      <c r="F397" s="9">
        <v>0.38055555555555554</v>
      </c>
      <c r="G397" s="9">
        <v>0.99375000000000002</v>
      </c>
      <c r="H397" s="10">
        <f t="shared" si="12"/>
        <v>4.7222222222222221E-2</v>
      </c>
      <c r="I397" s="10">
        <f t="shared" si="13"/>
        <v>0.61319444444444449</v>
      </c>
      <c r="J397" s="35">
        <f>IF($I$11&gt;Table4[[#This Row],[Working Hours]],$F$6-Table4[[#This Row],[Working Hours]],0)</f>
        <v>0</v>
      </c>
      <c r="K397" s="20" t="s">
        <v>239</v>
      </c>
    </row>
    <row r="398" spans="3:11" x14ac:dyDescent="0.25">
      <c r="C398" s="13" t="s">
        <v>58</v>
      </c>
      <c r="D398" s="8">
        <v>45743</v>
      </c>
      <c r="E398" s="7" t="s">
        <v>7</v>
      </c>
      <c r="F398" s="9"/>
      <c r="G398" s="9"/>
      <c r="H398" s="10">
        <f t="shared" si="12"/>
        <v>0</v>
      </c>
      <c r="I398" s="10">
        <f t="shared" si="13"/>
        <v>0</v>
      </c>
      <c r="J398" s="35">
        <f>IF($I$11&gt;Table4[[#This Row],[Working Hours]],$F$6-Table4[[#This Row],[Working Hours]],0)</f>
        <v>0.33333333333333331</v>
      </c>
      <c r="K398" s="20" t="s">
        <v>240</v>
      </c>
    </row>
    <row r="399" spans="3:11" x14ac:dyDescent="0.25">
      <c r="C399" s="13" t="s">
        <v>58</v>
      </c>
      <c r="D399" s="8">
        <v>45744</v>
      </c>
      <c r="E399" s="7" t="s">
        <v>8</v>
      </c>
      <c r="F399" s="9"/>
      <c r="G399" s="9"/>
      <c r="H399" s="10">
        <f t="shared" si="12"/>
        <v>0</v>
      </c>
      <c r="I399" s="10">
        <f t="shared" si="13"/>
        <v>0</v>
      </c>
      <c r="J399" s="35">
        <f>IF($I$11&gt;Table4[[#This Row],[Working Hours]],$F$6-Table4[[#This Row],[Working Hours]],0)</f>
        <v>0.33333333333333331</v>
      </c>
      <c r="K399" s="20" t="s">
        <v>240</v>
      </c>
    </row>
    <row r="400" spans="3:11" x14ac:dyDescent="0.25">
      <c r="C400" s="13" t="s">
        <v>58</v>
      </c>
      <c r="D400" s="8">
        <v>45745</v>
      </c>
      <c r="E400" s="7" t="s">
        <v>20</v>
      </c>
      <c r="F400" s="9">
        <v>0.44375000000000003</v>
      </c>
      <c r="G400" s="9">
        <v>0.93819444444444444</v>
      </c>
      <c r="H400" s="10">
        <f t="shared" si="12"/>
        <v>0.11041666666666672</v>
      </c>
      <c r="I400" s="10">
        <f t="shared" si="13"/>
        <v>0.49444444444444441</v>
      </c>
      <c r="J400" s="35">
        <f>IF($I$11&gt;Table4[[#This Row],[Working Hours]],$F$6-Table4[[#This Row],[Working Hours]],0)</f>
        <v>0</v>
      </c>
      <c r="K400" s="20" t="s">
        <v>239</v>
      </c>
    </row>
    <row r="401" spans="3:11" x14ac:dyDescent="0.25">
      <c r="C401" s="13" t="s">
        <v>58</v>
      </c>
      <c r="D401" s="8">
        <v>45746</v>
      </c>
      <c r="E401" s="7" t="s">
        <v>21</v>
      </c>
      <c r="F401" s="9">
        <v>0.3576388888888889</v>
      </c>
      <c r="G401" s="9">
        <v>0.90902777777777777</v>
      </c>
      <c r="H401" s="10">
        <f t="shared" si="12"/>
        <v>2.430555555555558E-2</v>
      </c>
      <c r="I401" s="10">
        <f t="shared" si="13"/>
        <v>0.55138888888888893</v>
      </c>
      <c r="J401" s="35">
        <f>IF($I$11&gt;Table4[[#This Row],[Working Hours]],$F$6-Table4[[#This Row],[Working Hours]],0)</f>
        <v>0</v>
      </c>
      <c r="K401" s="20" t="s">
        <v>239</v>
      </c>
    </row>
    <row r="402" spans="3:11" x14ac:dyDescent="0.25">
      <c r="C402" s="13" t="s">
        <v>58</v>
      </c>
      <c r="D402" s="8">
        <v>45747</v>
      </c>
      <c r="E402" s="7" t="s">
        <v>22</v>
      </c>
      <c r="F402" s="9">
        <v>0.44236111111111115</v>
      </c>
      <c r="G402" s="9">
        <v>0.93819444444444444</v>
      </c>
      <c r="H402" s="10">
        <f t="shared" si="12"/>
        <v>0.10902777777777783</v>
      </c>
      <c r="I402" s="10">
        <f t="shared" si="13"/>
        <v>0.49583333333333329</v>
      </c>
      <c r="J402" s="35">
        <f>IF($I$11&gt;Table4[[#This Row],[Working Hours]],$F$6-Table4[[#This Row],[Working Hours]],0)</f>
        <v>0</v>
      </c>
      <c r="K402" s="20" t="s">
        <v>239</v>
      </c>
    </row>
    <row r="403" spans="3:11" x14ac:dyDescent="0.25">
      <c r="C403" s="13" t="s">
        <v>58</v>
      </c>
      <c r="D403" s="8">
        <v>45748</v>
      </c>
      <c r="E403" s="7" t="s">
        <v>18</v>
      </c>
      <c r="F403" s="9">
        <v>0.37222222222222223</v>
      </c>
      <c r="G403" s="9">
        <v>0.90555555555555556</v>
      </c>
      <c r="H403" s="10">
        <f t="shared" si="12"/>
        <v>3.8888888888888917E-2</v>
      </c>
      <c r="I403" s="10">
        <f t="shared" si="13"/>
        <v>0.53333333333333333</v>
      </c>
      <c r="J403" s="35">
        <f>IF($I$11&gt;Table4[[#This Row],[Working Hours]],$F$6-Table4[[#This Row],[Working Hours]],0)</f>
        <v>0</v>
      </c>
      <c r="K403" s="20" t="s">
        <v>239</v>
      </c>
    </row>
    <row r="404" spans="3:11" x14ac:dyDescent="0.25">
      <c r="C404" s="13" t="s">
        <v>58</v>
      </c>
      <c r="D404" s="8">
        <v>45749</v>
      </c>
      <c r="E404" s="7" t="s">
        <v>19</v>
      </c>
      <c r="F404" s="9">
        <v>0.40416666666666662</v>
      </c>
      <c r="G404" s="9">
        <v>0.86249999999999993</v>
      </c>
      <c r="H404" s="10">
        <f t="shared" si="12"/>
        <v>7.0833333333333304E-2</v>
      </c>
      <c r="I404" s="10">
        <f t="shared" si="13"/>
        <v>0.45833333333333331</v>
      </c>
      <c r="J404" s="35">
        <f>IF($I$11&gt;Table4[[#This Row],[Working Hours]],$F$6-Table4[[#This Row],[Working Hours]],0)</f>
        <v>0</v>
      </c>
      <c r="K404" s="20" t="s">
        <v>239</v>
      </c>
    </row>
    <row r="405" spans="3:11" x14ac:dyDescent="0.25">
      <c r="C405" s="13" t="s">
        <v>58</v>
      </c>
      <c r="D405" s="8">
        <v>45750</v>
      </c>
      <c r="E405" s="7" t="s">
        <v>7</v>
      </c>
      <c r="F405" s="9"/>
      <c r="G405" s="9"/>
      <c r="H405" s="10">
        <f t="shared" si="12"/>
        <v>0</v>
      </c>
      <c r="I405" s="10">
        <f t="shared" si="13"/>
        <v>0</v>
      </c>
      <c r="J405" s="35">
        <f>IF($I$11&gt;Table4[[#This Row],[Working Hours]],$F$6-Table4[[#This Row],[Working Hours]],0)</f>
        <v>0.33333333333333331</v>
      </c>
      <c r="K405" s="20" t="s">
        <v>240</v>
      </c>
    </row>
    <row r="406" spans="3:11" x14ac:dyDescent="0.25">
      <c r="C406" s="13" t="s">
        <v>58</v>
      </c>
      <c r="D406" s="8">
        <v>45751</v>
      </c>
      <c r="E406" s="7" t="s">
        <v>8</v>
      </c>
      <c r="F406" s="9"/>
      <c r="G406" s="9"/>
      <c r="H406" s="10">
        <f t="shared" si="12"/>
        <v>0</v>
      </c>
      <c r="I406" s="10">
        <f t="shared" si="13"/>
        <v>0</v>
      </c>
      <c r="J406" s="35">
        <f>IF($I$11&gt;Table4[[#This Row],[Working Hours]],$F$6-Table4[[#This Row],[Working Hours]],0)</f>
        <v>0.33333333333333331</v>
      </c>
      <c r="K406" s="20" t="s">
        <v>240</v>
      </c>
    </row>
    <row r="407" spans="3:11" x14ac:dyDescent="0.25">
      <c r="C407" s="13" t="s">
        <v>58</v>
      </c>
      <c r="D407" s="8">
        <v>45752</v>
      </c>
      <c r="E407" s="7" t="s">
        <v>20</v>
      </c>
      <c r="F407" s="9">
        <v>0.3034722222222222</v>
      </c>
      <c r="G407" s="9">
        <v>0.94027777777777777</v>
      </c>
      <c r="H407" s="10">
        <f t="shared" si="12"/>
        <v>0</v>
      </c>
      <c r="I407" s="10">
        <f t="shared" si="13"/>
        <v>0.63680555555555562</v>
      </c>
      <c r="J407" s="35">
        <f>IF($I$11&gt;Table4[[#This Row],[Working Hours]],$F$6-Table4[[#This Row],[Working Hours]],0)</f>
        <v>0</v>
      </c>
      <c r="K407" s="20" t="s">
        <v>239</v>
      </c>
    </row>
    <row r="408" spans="3:11" x14ac:dyDescent="0.25">
      <c r="C408" s="13" t="s">
        <v>58</v>
      </c>
      <c r="D408" s="8">
        <v>45753</v>
      </c>
      <c r="E408" s="7" t="s">
        <v>21</v>
      </c>
      <c r="F408" s="9">
        <v>0.45763888888888887</v>
      </c>
      <c r="G408" s="9">
        <v>0.94513888888888886</v>
      </c>
      <c r="H408" s="10">
        <f t="shared" si="12"/>
        <v>0.12430555555555556</v>
      </c>
      <c r="I408" s="10">
        <f t="shared" si="13"/>
        <v>0.48749999999999999</v>
      </c>
      <c r="J408" s="35">
        <f>IF($I$11&gt;Table4[[#This Row],[Working Hours]],$F$6-Table4[[#This Row],[Working Hours]],0)</f>
        <v>0</v>
      </c>
      <c r="K408" s="20" t="s">
        <v>239</v>
      </c>
    </row>
    <row r="409" spans="3:11" x14ac:dyDescent="0.25">
      <c r="C409" s="13" t="s">
        <v>58</v>
      </c>
      <c r="D409" s="8">
        <v>45754</v>
      </c>
      <c r="E409" s="7" t="s">
        <v>22</v>
      </c>
      <c r="F409" s="9">
        <v>0.3659722222222222</v>
      </c>
      <c r="G409" s="9">
        <v>0.89444444444444438</v>
      </c>
      <c r="H409" s="10">
        <f t="shared" si="12"/>
        <v>3.2638888888888884E-2</v>
      </c>
      <c r="I409" s="10">
        <f t="shared" si="13"/>
        <v>0.52847222222222223</v>
      </c>
      <c r="J409" s="35">
        <f>IF($I$11&gt;Table4[[#This Row],[Working Hours]],$F$6-Table4[[#This Row],[Working Hours]],0)</f>
        <v>0</v>
      </c>
      <c r="K409" s="20" t="s">
        <v>239</v>
      </c>
    </row>
    <row r="410" spans="3:11" x14ac:dyDescent="0.25">
      <c r="C410" s="13" t="s">
        <v>58</v>
      </c>
      <c r="D410" s="8">
        <v>45755</v>
      </c>
      <c r="E410" s="7" t="s">
        <v>18</v>
      </c>
      <c r="F410" s="9">
        <v>0.31805555555555554</v>
      </c>
      <c r="G410" s="9">
        <v>0.90625</v>
      </c>
      <c r="H410" s="10">
        <f t="shared" si="12"/>
        <v>0</v>
      </c>
      <c r="I410" s="10">
        <f t="shared" si="13"/>
        <v>0.58819444444444446</v>
      </c>
      <c r="J410" s="35">
        <f>IF($I$11&gt;Table4[[#This Row],[Working Hours]],$F$6-Table4[[#This Row],[Working Hours]],0)</f>
        <v>0</v>
      </c>
      <c r="K410" s="20" t="s">
        <v>239</v>
      </c>
    </row>
    <row r="411" spans="3:11" x14ac:dyDescent="0.25">
      <c r="C411" s="13" t="s">
        <v>58</v>
      </c>
      <c r="D411" s="8">
        <v>45756</v>
      </c>
      <c r="E411" s="7" t="s">
        <v>19</v>
      </c>
      <c r="F411" s="9">
        <v>0.41388888888888892</v>
      </c>
      <c r="G411" s="9">
        <v>0.84444444444444444</v>
      </c>
      <c r="H411" s="10">
        <f t="shared" si="12"/>
        <v>8.0555555555555602E-2</v>
      </c>
      <c r="I411" s="10">
        <f t="shared" si="13"/>
        <v>0.43055555555555552</v>
      </c>
      <c r="J411" s="35">
        <f>IF($I$11&gt;Table4[[#This Row],[Working Hours]],$F$6-Table4[[#This Row],[Working Hours]],0)</f>
        <v>0</v>
      </c>
      <c r="K411" s="20" t="s">
        <v>239</v>
      </c>
    </row>
    <row r="412" spans="3:11" x14ac:dyDescent="0.25">
      <c r="C412" s="13" t="s">
        <v>58</v>
      </c>
      <c r="D412" s="8">
        <v>45757</v>
      </c>
      <c r="E412" s="7" t="s">
        <v>7</v>
      </c>
      <c r="F412" s="9"/>
      <c r="G412" s="9"/>
      <c r="H412" s="10">
        <f t="shared" si="12"/>
        <v>0</v>
      </c>
      <c r="I412" s="10">
        <f t="shared" si="13"/>
        <v>0</v>
      </c>
      <c r="J412" s="35">
        <f>IF($I$11&gt;Table4[[#This Row],[Working Hours]],$F$6-Table4[[#This Row],[Working Hours]],0)</f>
        <v>0.33333333333333331</v>
      </c>
      <c r="K412" s="20" t="s">
        <v>240</v>
      </c>
    </row>
    <row r="413" spans="3:11" x14ac:dyDescent="0.25">
      <c r="C413" s="13" t="s">
        <v>58</v>
      </c>
      <c r="D413" s="8">
        <v>45758</v>
      </c>
      <c r="E413" s="7" t="s">
        <v>8</v>
      </c>
      <c r="F413" s="9"/>
      <c r="G413" s="9"/>
      <c r="H413" s="10">
        <f t="shared" si="12"/>
        <v>0</v>
      </c>
      <c r="I413" s="10">
        <f t="shared" si="13"/>
        <v>0</v>
      </c>
      <c r="J413" s="35">
        <f>IF($I$11&gt;Table4[[#This Row],[Working Hours]],$F$6-Table4[[#This Row],[Working Hours]],0)</f>
        <v>0.33333333333333331</v>
      </c>
      <c r="K413" s="20" t="s">
        <v>240</v>
      </c>
    </row>
    <row r="414" spans="3:11" x14ac:dyDescent="0.25">
      <c r="C414" s="13" t="s">
        <v>58</v>
      </c>
      <c r="D414" s="8">
        <v>45759</v>
      </c>
      <c r="E414" s="7" t="s">
        <v>20</v>
      </c>
      <c r="F414" s="9">
        <v>0.32291666666666669</v>
      </c>
      <c r="G414" s="9">
        <v>0.91041666666666676</v>
      </c>
      <c r="H414" s="10">
        <f t="shared" si="12"/>
        <v>0</v>
      </c>
      <c r="I414" s="10">
        <f t="shared" si="13"/>
        <v>0.58750000000000013</v>
      </c>
      <c r="J414" s="35">
        <f>IF($I$11&gt;Table4[[#This Row],[Working Hours]],$F$6-Table4[[#This Row],[Working Hours]],0)</f>
        <v>0</v>
      </c>
      <c r="K414" s="20" t="s">
        <v>239</v>
      </c>
    </row>
    <row r="415" spans="3:11" x14ac:dyDescent="0.25">
      <c r="C415" s="13" t="s">
        <v>58</v>
      </c>
      <c r="D415" s="8">
        <v>45760</v>
      </c>
      <c r="E415" s="7" t="s">
        <v>21</v>
      </c>
      <c r="F415" s="9">
        <v>0.30555555555555552</v>
      </c>
      <c r="G415" s="9">
        <v>0.99652777777777779</v>
      </c>
      <c r="H415" s="10">
        <f t="shared" si="12"/>
        <v>0</v>
      </c>
      <c r="I415" s="10">
        <f t="shared" si="13"/>
        <v>0.69097222222222232</v>
      </c>
      <c r="J415" s="35">
        <f>IF($I$11&gt;Table4[[#This Row],[Working Hours]],$F$6-Table4[[#This Row],[Working Hours]],0)</f>
        <v>0</v>
      </c>
      <c r="K415" s="20" t="s">
        <v>239</v>
      </c>
    </row>
    <row r="416" spans="3:11" x14ac:dyDescent="0.25">
      <c r="C416" s="13" t="s">
        <v>58</v>
      </c>
      <c r="D416" s="8">
        <v>45761</v>
      </c>
      <c r="E416" s="7" t="s">
        <v>22</v>
      </c>
      <c r="F416" s="9">
        <v>0.41388888888888892</v>
      </c>
      <c r="G416" s="9">
        <v>0.88611111111111107</v>
      </c>
      <c r="H416" s="10">
        <f t="shared" si="12"/>
        <v>8.0555555555555602E-2</v>
      </c>
      <c r="I416" s="10">
        <f t="shared" si="13"/>
        <v>0.47222222222222215</v>
      </c>
      <c r="J416" s="35">
        <f>IF($I$11&gt;Table4[[#This Row],[Working Hours]],$F$6-Table4[[#This Row],[Working Hours]],0)</f>
        <v>0</v>
      </c>
      <c r="K416" s="20" t="s">
        <v>239</v>
      </c>
    </row>
    <row r="417" spans="3:11" x14ac:dyDescent="0.25">
      <c r="C417" s="13" t="s">
        <v>58</v>
      </c>
      <c r="D417" s="8">
        <v>45762</v>
      </c>
      <c r="E417" s="7" t="s">
        <v>18</v>
      </c>
      <c r="F417" s="9">
        <v>0.49305555555555558</v>
      </c>
      <c r="G417" s="9">
        <v>0.97152777777777777</v>
      </c>
      <c r="H417" s="10">
        <f t="shared" si="12"/>
        <v>0.15972222222222227</v>
      </c>
      <c r="I417" s="10">
        <f t="shared" si="13"/>
        <v>0.47847222222222219</v>
      </c>
      <c r="J417" s="35">
        <f>IF($I$11&gt;Table4[[#This Row],[Working Hours]],$F$6-Table4[[#This Row],[Working Hours]],0)</f>
        <v>0</v>
      </c>
      <c r="K417" s="20" t="s">
        <v>239</v>
      </c>
    </row>
    <row r="418" spans="3:11" x14ac:dyDescent="0.25">
      <c r="C418" s="13" t="s">
        <v>58</v>
      </c>
      <c r="D418" s="8">
        <v>45763</v>
      </c>
      <c r="E418" s="7" t="s">
        <v>19</v>
      </c>
      <c r="F418" s="9">
        <v>0.42499999999999999</v>
      </c>
      <c r="G418" s="9">
        <v>0.8666666666666667</v>
      </c>
      <c r="H418" s="10">
        <f t="shared" si="12"/>
        <v>9.1666666666666674E-2</v>
      </c>
      <c r="I418" s="10">
        <f t="shared" si="13"/>
        <v>0.44166666666666671</v>
      </c>
      <c r="J418" s="35">
        <f>IF($I$11&gt;Table4[[#This Row],[Working Hours]],$F$6-Table4[[#This Row],[Working Hours]],0)</f>
        <v>0</v>
      </c>
      <c r="K418" s="20" t="s">
        <v>239</v>
      </c>
    </row>
    <row r="419" spans="3:11" x14ac:dyDescent="0.25">
      <c r="C419" s="13" t="s">
        <v>58</v>
      </c>
      <c r="D419" s="8">
        <v>45764</v>
      </c>
      <c r="E419" s="7" t="s">
        <v>7</v>
      </c>
      <c r="F419" s="9"/>
      <c r="G419" s="9"/>
      <c r="H419" s="10">
        <f t="shared" si="12"/>
        <v>0</v>
      </c>
      <c r="I419" s="10">
        <f t="shared" si="13"/>
        <v>0</v>
      </c>
      <c r="J419" s="35">
        <f>IF($I$11&gt;Table4[[#This Row],[Working Hours]],$F$6-Table4[[#This Row],[Working Hours]],0)</f>
        <v>0.33333333333333331</v>
      </c>
      <c r="K419" s="20" t="s">
        <v>240</v>
      </c>
    </row>
    <row r="420" spans="3:11" x14ac:dyDescent="0.25">
      <c r="C420" s="13" t="s">
        <v>58</v>
      </c>
      <c r="D420" s="8">
        <v>45765</v>
      </c>
      <c r="E420" s="7" t="s">
        <v>8</v>
      </c>
      <c r="F420" s="9"/>
      <c r="G420" s="9"/>
      <c r="H420" s="10">
        <f t="shared" si="12"/>
        <v>0</v>
      </c>
      <c r="I420" s="10">
        <f t="shared" si="13"/>
        <v>0</v>
      </c>
      <c r="J420" s="35">
        <f>IF($I$11&gt;Table4[[#This Row],[Working Hours]],$F$6-Table4[[#This Row],[Working Hours]],0)</f>
        <v>0.33333333333333331</v>
      </c>
      <c r="K420" s="20" t="s">
        <v>240</v>
      </c>
    </row>
    <row r="421" spans="3:11" x14ac:dyDescent="0.25">
      <c r="C421" s="13" t="s">
        <v>58</v>
      </c>
      <c r="D421" s="8">
        <v>45766</v>
      </c>
      <c r="E421" s="7" t="s">
        <v>20</v>
      </c>
      <c r="F421" s="9">
        <v>0.4368055555555555</v>
      </c>
      <c r="G421" s="9">
        <v>0.9506944444444444</v>
      </c>
      <c r="H421" s="10">
        <f t="shared" si="12"/>
        <v>0.10347222222222219</v>
      </c>
      <c r="I421" s="10">
        <f t="shared" si="13"/>
        <v>0.51388888888888884</v>
      </c>
      <c r="J421" s="35">
        <f>IF($I$11&gt;Table4[[#This Row],[Working Hours]],$F$6-Table4[[#This Row],[Working Hours]],0)</f>
        <v>0</v>
      </c>
      <c r="K421" s="20" t="s">
        <v>239</v>
      </c>
    </row>
    <row r="422" spans="3:11" x14ac:dyDescent="0.25">
      <c r="C422" s="13" t="s">
        <v>58</v>
      </c>
      <c r="D422" s="8">
        <v>45767</v>
      </c>
      <c r="E422" s="7" t="s">
        <v>21</v>
      </c>
      <c r="F422" s="9">
        <v>0.37222222222222223</v>
      </c>
      <c r="G422" s="9">
        <v>0.84652777777777777</v>
      </c>
      <c r="H422" s="10">
        <f t="shared" si="12"/>
        <v>3.8888888888888917E-2</v>
      </c>
      <c r="I422" s="10">
        <f t="shared" si="13"/>
        <v>0.47430555555555554</v>
      </c>
      <c r="J422" s="35">
        <f>IF($I$11&gt;Table4[[#This Row],[Working Hours]],$F$6-Table4[[#This Row],[Working Hours]],0)</f>
        <v>0</v>
      </c>
      <c r="K422" s="20" t="s">
        <v>239</v>
      </c>
    </row>
    <row r="423" spans="3:11" x14ac:dyDescent="0.25">
      <c r="C423" s="13" t="s">
        <v>58</v>
      </c>
      <c r="D423" s="8">
        <v>45768</v>
      </c>
      <c r="E423" s="7" t="s">
        <v>22</v>
      </c>
      <c r="F423" s="9">
        <v>0.40972222222222227</v>
      </c>
      <c r="G423" s="9">
        <v>0.98333333333333339</v>
      </c>
      <c r="H423" s="10">
        <f t="shared" si="12"/>
        <v>7.6388888888888951E-2</v>
      </c>
      <c r="I423" s="10">
        <f t="shared" si="13"/>
        <v>0.57361111111111107</v>
      </c>
      <c r="J423" s="35">
        <f>IF($I$11&gt;Table4[[#This Row],[Working Hours]],$F$6-Table4[[#This Row],[Working Hours]],0)</f>
        <v>0</v>
      </c>
      <c r="K423" s="20" t="s">
        <v>239</v>
      </c>
    </row>
    <row r="424" spans="3:11" x14ac:dyDescent="0.25">
      <c r="C424" s="13" t="s">
        <v>58</v>
      </c>
      <c r="D424" s="8">
        <v>45769</v>
      </c>
      <c r="E424" s="7" t="s">
        <v>18</v>
      </c>
      <c r="F424" s="9">
        <v>0.33333333333333331</v>
      </c>
      <c r="G424" s="9">
        <v>0.93263888888888891</v>
      </c>
      <c r="H424" s="10">
        <f t="shared" si="12"/>
        <v>0</v>
      </c>
      <c r="I424" s="10">
        <f t="shared" si="13"/>
        <v>0.59930555555555554</v>
      </c>
      <c r="J424" s="35">
        <f>IF($I$11&gt;Table4[[#This Row],[Working Hours]],$F$6-Table4[[#This Row],[Working Hours]],0)</f>
        <v>0</v>
      </c>
      <c r="K424" s="20" t="s">
        <v>239</v>
      </c>
    </row>
    <row r="425" spans="3:11" x14ac:dyDescent="0.25">
      <c r="C425" s="13" t="s">
        <v>58</v>
      </c>
      <c r="D425" s="8">
        <v>45770</v>
      </c>
      <c r="E425" s="7" t="s">
        <v>19</v>
      </c>
      <c r="F425" s="9">
        <v>0.4604166666666667</v>
      </c>
      <c r="G425" s="9">
        <v>0.94652777777777775</v>
      </c>
      <c r="H425" s="10">
        <f t="shared" si="12"/>
        <v>0.12708333333333338</v>
      </c>
      <c r="I425" s="10">
        <f t="shared" si="13"/>
        <v>0.48611111111111105</v>
      </c>
      <c r="J425" s="35">
        <f>IF($I$11&gt;Table4[[#This Row],[Working Hours]],$F$6-Table4[[#This Row],[Working Hours]],0)</f>
        <v>0</v>
      </c>
      <c r="K425" s="20" t="s">
        <v>239</v>
      </c>
    </row>
    <row r="426" spans="3:11" x14ac:dyDescent="0.25">
      <c r="C426" s="13" t="s">
        <v>58</v>
      </c>
      <c r="D426" s="8">
        <v>45771</v>
      </c>
      <c r="E426" s="7" t="s">
        <v>7</v>
      </c>
      <c r="F426" s="9"/>
      <c r="G426" s="9"/>
      <c r="H426" s="10">
        <f t="shared" si="12"/>
        <v>0</v>
      </c>
      <c r="I426" s="10">
        <f t="shared" si="13"/>
        <v>0</v>
      </c>
      <c r="J426" s="35">
        <f>IF($I$11&gt;Table4[[#This Row],[Working Hours]],$F$6-Table4[[#This Row],[Working Hours]],0)</f>
        <v>0.33333333333333331</v>
      </c>
      <c r="K426" s="20" t="s">
        <v>240</v>
      </c>
    </row>
    <row r="427" spans="3:11" x14ac:dyDescent="0.25">
      <c r="C427" s="13" t="s">
        <v>58</v>
      </c>
      <c r="D427" s="8">
        <v>45772</v>
      </c>
      <c r="E427" s="7" t="s">
        <v>8</v>
      </c>
      <c r="F427" s="9"/>
      <c r="G427" s="9"/>
      <c r="H427" s="10">
        <f t="shared" si="12"/>
        <v>0</v>
      </c>
      <c r="I427" s="10">
        <f t="shared" si="13"/>
        <v>0</v>
      </c>
      <c r="J427" s="35">
        <f>IF($I$11&gt;Table4[[#This Row],[Working Hours]],$F$6-Table4[[#This Row],[Working Hours]],0)</f>
        <v>0.33333333333333331</v>
      </c>
      <c r="K427" s="20" t="s">
        <v>240</v>
      </c>
    </row>
    <row r="428" spans="3:11" x14ac:dyDescent="0.25">
      <c r="C428" s="13" t="s">
        <v>58</v>
      </c>
      <c r="D428" s="8">
        <v>45773</v>
      </c>
      <c r="E428" s="7" t="s">
        <v>20</v>
      </c>
      <c r="F428" s="9">
        <v>0.45277777777777778</v>
      </c>
      <c r="G428" s="9">
        <v>0.88888888888888884</v>
      </c>
      <c r="H428" s="10">
        <f t="shared" si="12"/>
        <v>0.11944444444444446</v>
      </c>
      <c r="I428" s="10">
        <f t="shared" si="13"/>
        <v>0.43611111111111106</v>
      </c>
      <c r="J428" s="35">
        <f>IF($I$11&gt;Table4[[#This Row],[Working Hours]],$F$6-Table4[[#This Row],[Working Hours]],0)</f>
        <v>0</v>
      </c>
      <c r="K428" s="20" t="s">
        <v>239</v>
      </c>
    </row>
    <row r="429" spans="3:11" x14ac:dyDescent="0.25">
      <c r="C429" s="13" t="s">
        <v>58</v>
      </c>
      <c r="D429" s="8">
        <v>45774</v>
      </c>
      <c r="E429" s="7" t="s">
        <v>21</v>
      </c>
      <c r="F429" s="9">
        <v>0.3215277777777778</v>
      </c>
      <c r="G429" s="9">
        <v>0.9506944444444444</v>
      </c>
      <c r="H429" s="10">
        <f t="shared" si="12"/>
        <v>0</v>
      </c>
      <c r="I429" s="10">
        <f t="shared" si="13"/>
        <v>0.62916666666666665</v>
      </c>
      <c r="J429" s="35">
        <f>IF($I$11&gt;Table4[[#This Row],[Working Hours]],$F$6-Table4[[#This Row],[Working Hours]],0)</f>
        <v>0</v>
      </c>
      <c r="K429" s="20" t="s">
        <v>239</v>
      </c>
    </row>
    <row r="430" spans="3:11" x14ac:dyDescent="0.25">
      <c r="C430" s="13" t="s">
        <v>58</v>
      </c>
      <c r="D430" s="8">
        <v>45775</v>
      </c>
      <c r="E430" s="7" t="s">
        <v>22</v>
      </c>
      <c r="F430" s="9">
        <v>0.30624999999999997</v>
      </c>
      <c r="G430" s="9">
        <v>0.8652777777777777</v>
      </c>
      <c r="H430" s="10">
        <f t="shared" si="12"/>
        <v>0</v>
      </c>
      <c r="I430" s="10">
        <f t="shared" si="13"/>
        <v>0.55902777777777768</v>
      </c>
      <c r="J430" s="35">
        <f>IF($I$11&gt;Table4[[#This Row],[Working Hours]],$F$6-Table4[[#This Row],[Working Hours]],0)</f>
        <v>0</v>
      </c>
      <c r="K430" s="20" t="s">
        <v>239</v>
      </c>
    </row>
    <row r="431" spans="3:11" x14ac:dyDescent="0.25">
      <c r="C431" s="13" t="s">
        <v>58</v>
      </c>
      <c r="D431" s="8">
        <v>45776</v>
      </c>
      <c r="E431" s="7" t="s">
        <v>18</v>
      </c>
      <c r="F431" s="9">
        <v>0.42499999999999999</v>
      </c>
      <c r="G431" s="9">
        <v>0.8965277777777777</v>
      </c>
      <c r="H431" s="10">
        <f t="shared" si="12"/>
        <v>9.1666666666666674E-2</v>
      </c>
      <c r="I431" s="10">
        <f t="shared" si="13"/>
        <v>0.47152777777777771</v>
      </c>
      <c r="J431" s="35">
        <f>IF($I$11&gt;Table4[[#This Row],[Working Hours]],$F$6-Table4[[#This Row],[Working Hours]],0)</f>
        <v>0</v>
      </c>
      <c r="K431" s="20" t="s">
        <v>239</v>
      </c>
    </row>
    <row r="432" spans="3:11" x14ac:dyDescent="0.25">
      <c r="C432" s="13" t="s">
        <v>58</v>
      </c>
      <c r="D432" s="8">
        <v>45777</v>
      </c>
      <c r="E432" s="7" t="s">
        <v>19</v>
      </c>
      <c r="F432" s="9">
        <v>0.37361111111111112</v>
      </c>
      <c r="G432" s="9">
        <v>0.95277777777777783</v>
      </c>
      <c r="H432" s="10">
        <f t="shared" si="12"/>
        <v>4.0277777777777801E-2</v>
      </c>
      <c r="I432" s="10">
        <f t="shared" si="13"/>
        <v>0.57916666666666672</v>
      </c>
      <c r="J432" s="35">
        <f>IF($I$11&gt;Table4[[#This Row],[Working Hours]],$F$6-Table4[[#This Row],[Working Hours]],0)</f>
        <v>0</v>
      </c>
      <c r="K432" s="20" t="s">
        <v>239</v>
      </c>
    </row>
    <row r="433" spans="3:11" x14ac:dyDescent="0.25">
      <c r="C433" s="13" t="s">
        <v>58</v>
      </c>
      <c r="D433" s="8">
        <v>45778</v>
      </c>
      <c r="E433" s="7" t="s">
        <v>7</v>
      </c>
      <c r="F433" s="9"/>
      <c r="G433" s="9"/>
      <c r="H433" s="10">
        <f t="shared" si="12"/>
        <v>0</v>
      </c>
      <c r="I433" s="10">
        <f t="shared" si="13"/>
        <v>0</v>
      </c>
      <c r="J433" s="35">
        <f>IF($I$11&gt;Table4[[#This Row],[Working Hours]],$F$6-Table4[[#This Row],[Working Hours]],0)</f>
        <v>0.33333333333333331</v>
      </c>
      <c r="K433" s="20" t="s">
        <v>71</v>
      </c>
    </row>
    <row r="434" spans="3:11" x14ac:dyDescent="0.25">
      <c r="C434" s="13" t="s">
        <v>58</v>
      </c>
      <c r="D434" s="8">
        <v>45779</v>
      </c>
      <c r="E434" s="7" t="s">
        <v>8</v>
      </c>
      <c r="F434" s="9"/>
      <c r="G434" s="9"/>
      <c r="H434" s="10">
        <f t="shared" si="12"/>
        <v>0</v>
      </c>
      <c r="I434" s="10">
        <f t="shared" si="13"/>
        <v>0</v>
      </c>
      <c r="J434" s="35">
        <f>IF($I$11&gt;Table4[[#This Row],[Working Hours]],$F$6-Table4[[#This Row],[Working Hours]],0)</f>
        <v>0.33333333333333331</v>
      </c>
      <c r="K434" s="20" t="s">
        <v>240</v>
      </c>
    </row>
    <row r="435" spans="3:11" x14ac:dyDescent="0.25">
      <c r="C435" s="13" t="s">
        <v>58</v>
      </c>
      <c r="D435" s="8">
        <v>45780</v>
      </c>
      <c r="E435" s="7" t="s">
        <v>20</v>
      </c>
      <c r="F435" s="9">
        <v>0.37986111111111115</v>
      </c>
      <c r="G435" s="9">
        <v>0.98402777777777783</v>
      </c>
      <c r="H435" s="10">
        <f t="shared" si="12"/>
        <v>4.6527777777777835E-2</v>
      </c>
      <c r="I435" s="10">
        <f t="shared" si="13"/>
        <v>0.60416666666666674</v>
      </c>
      <c r="J435" s="35">
        <f>IF($I$11&gt;Table4[[#This Row],[Working Hours]],$F$6-Table4[[#This Row],[Working Hours]],0)</f>
        <v>0</v>
      </c>
      <c r="K435" s="20" t="s">
        <v>239</v>
      </c>
    </row>
    <row r="436" spans="3:11" x14ac:dyDescent="0.25">
      <c r="C436" s="13" t="s">
        <v>58</v>
      </c>
      <c r="D436" s="8">
        <v>45781</v>
      </c>
      <c r="E436" s="7" t="s">
        <v>21</v>
      </c>
      <c r="F436" s="9">
        <v>0.43541666666666662</v>
      </c>
      <c r="G436" s="9">
        <v>0.93402777777777779</v>
      </c>
      <c r="H436" s="10">
        <f t="shared" si="12"/>
        <v>0.1020833333333333</v>
      </c>
      <c r="I436" s="10">
        <f t="shared" si="13"/>
        <v>0.49861111111111117</v>
      </c>
      <c r="J436" s="35">
        <f>IF($I$11&gt;Table4[[#This Row],[Working Hours]],$F$6-Table4[[#This Row],[Working Hours]],0)</f>
        <v>0</v>
      </c>
      <c r="K436" s="20" t="s">
        <v>239</v>
      </c>
    </row>
    <row r="437" spans="3:11" x14ac:dyDescent="0.25">
      <c r="C437" s="13" t="s">
        <v>58</v>
      </c>
      <c r="D437" s="8">
        <v>45782</v>
      </c>
      <c r="E437" s="7" t="s">
        <v>22</v>
      </c>
      <c r="F437" s="9">
        <v>0.33055555555555555</v>
      </c>
      <c r="G437" s="9">
        <v>0.85972222222222217</v>
      </c>
      <c r="H437" s="10">
        <f t="shared" si="12"/>
        <v>0</v>
      </c>
      <c r="I437" s="10">
        <f t="shared" si="13"/>
        <v>0.52916666666666656</v>
      </c>
      <c r="J437" s="35">
        <f>IF($I$11&gt;Table4[[#This Row],[Working Hours]],$F$6-Table4[[#This Row],[Working Hours]],0)</f>
        <v>0</v>
      </c>
      <c r="K437" s="20" t="s">
        <v>239</v>
      </c>
    </row>
    <row r="438" spans="3:11" x14ac:dyDescent="0.25">
      <c r="C438" s="13" t="s">
        <v>58</v>
      </c>
      <c r="D438" s="8">
        <v>45783</v>
      </c>
      <c r="E438" s="7" t="s">
        <v>18</v>
      </c>
      <c r="F438" s="9">
        <v>0.43402777777777773</v>
      </c>
      <c r="G438" s="9">
        <v>0.97013888888888899</v>
      </c>
      <c r="H438" s="10">
        <f t="shared" si="12"/>
        <v>0.10069444444444442</v>
      </c>
      <c r="I438" s="10">
        <f t="shared" si="13"/>
        <v>0.5361111111111112</v>
      </c>
      <c r="J438" s="35">
        <f>IF($I$11&gt;Table4[[#This Row],[Working Hours]],$F$6-Table4[[#This Row],[Working Hours]],0)</f>
        <v>0</v>
      </c>
      <c r="K438" s="20" t="s">
        <v>239</v>
      </c>
    </row>
    <row r="439" spans="3:11" x14ac:dyDescent="0.25">
      <c r="C439" s="13" t="s">
        <v>58</v>
      </c>
      <c r="D439" s="8">
        <v>45784</v>
      </c>
      <c r="E439" s="7" t="s">
        <v>19</v>
      </c>
      <c r="F439" s="9">
        <v>0.32569444444444445</v>
      </c>
      <c r="G439" s="9">
        <v>0.87291666666666667</v>
      </c>
      <c r="H439" s="10">
        <f t="shared" si="12"/>
        <v>0</v>
      </c>
      <c r="I439" s="10">
        <f t="shared" si="13"/>
        <v>0.54722222222222228</v>
      </c>
      <c r="J439" s="35">
        <f>IF($I$11&gt;Table4[[#This Row],[Working Hours]],$F$6-Table4[[#This Row],[Working Hours]],0)</f>
        <v>0</v>
      </c>
      <c r="K439" s="20" t="s">
        <v>239</v>
      </c>
    </row>
    <row r="440" spans="3:11" x14ac:dyDescent="0.25">
      <c r="C440" s="13" t="s">
        <v>58</v>
      </c>
      <c r="D440" s="8">
        <v>45785</v>
      </c>
      <c r="E440" s="7" t="s">
        <v>7</v>
      </c>
      <c r="F440" s="9"/>
      <c r="G440" s="9"/>
      <c r="H440" s="10">
        <f t="shared" si="12"/>
        <v>0</v>
      </c>
      <c r="I440" s="10">
        <f t="shared" si="13"/>
        <v>0</v>
      </c>
      <c r="J440" s="35">
        <f>IF($I$11&gt;Table4[[#This Row],[Working Hours]],$F$6-Table4[[#This Row],[Working Hours]],0)</f>
        <v>0.33333333333333331</v>
      </c>
      <c r="K440" s="20" t="s">
        <v>240</v>
      </c>
    </row>
    <row r="441" spans="3:11" x14ac:dyDescent="0.25">
      <c r="C441" s="13" t="s">
        <v>58</v>
      </c>
      <c r="D441" s="8">
        <v>45786</v>
      </c>
      <c r="E441" s="7" t="s">
        <v>8</v>
      </c>
      <c r="F441" s="9"/>
      <c r="G441" s="9"/>
      <c r="H441" s="10">
        <f t="shared" si="12"/>
        <v>0</v>
      </c>
      <c r="I441" s="10">
        <f t="shared" si="13"/>
        <v>0</v>
      </c>
      <c r="J441" s="35">
        <f>IF($I$11&gt;Table4[[#This Row],[Working Hours]],$F$6-Table4[[#This Row],[Working Hours]],0)</f>
        <v>0.33333333333333331</v>
      </c>
      <c r="K441" s="20" t="s">
        <v>240</v>
      </c>
    </row>
    <row r="442" spans="3:11" x14ac:dyDescent="0.25">
      <c r="C442" s="13" t="s">
        <v>58</v>
      </c>
      <c r="D442" s="8">
        <v>45787</v>
      </c>
      <c r="E442" s="7" t="s">
        <v>20</v>
      </c>
      <c r="F442" s="9">
        <v>0.35694444444444445</v>
      </c>
      <c r="G442" s="9">
        <v>0.95694444444444438</v>
      </c>
      <c r="H442" s="10">
        <f t="shared" si="12"/>
        <v>2.3611111111111138E-2</v>
      </c>
      <c r="I442" s="10">
        <f t="shared" si="13"/>
        <v>0.59999999999999987</v>
      </c>
      <c r="J442" s="35">
        <f>IF($I$11&gt;Table4[[#This Row],[Working Hours]],$F$6-Table4[[#This Row],[Working Hours]],0)</f>
        <v>0</v>
      </c>
      <c r="K442" s="20" t="s">
        <v>239</v>
      </c>
    </row>
    <row r="443" spans="3:11" x14ac:dyDescent="0.25">
      <c r="C443" s="13" t="s">
        <v>58</v>
      </c>
      <c r="D443" s="8">
        <v>45788</v>
      </c>
      <c r="E443" s="7" t="s">
        <v>21</v>
      </c>
      <c r="F443" s="9">
        <v>0.49652777777777773</v>
      </c>
      <c r="G443" s="9">
        <v>0.90138888888888891</v>
      </c>
      <c r="H443" s="10">
        <f t="shared" si="12"/>
        <v>0.16319444444444442</v>
      </c>
      <c r="I443" s="10">
        <f t="shared" si="13"/>
        <v>0.40486111111111117</v>
      </c>
      <c r="J443" s="35">
        <f>IF($I$11&gt;Table4[[#This Row],[Working Hours]],$F$6-Table4[[#This Row],[Working Hours]],0)</f>
        <v>0</v>
      </c>
      <c r="K443" s="20" t="s">
        <v>239</v>
      </c>
    </row>
    <row r="444" spans="3:11" x14ac:dyDescent="0.25">
      <c r="C444" s="13" t="s">
        <v>58</v>
      </c>
      <c r="D444" s="8">
        <v>45789</v>
      </c>
      <c r="E444" s="7" t="s">
        <v>22</v>
      </c>
      <c r="F444" s="9">
        <v>0.42430555555555555</v>
      </c>
      <c r="G444" s="9">
        <v>0.94097222222222221</v>
      </c>
      <c r="H444" s="10">
        <f t="shared" si="12"/>
        <v>9.0972222222222232E-2</v>
      </c>
      <c r="I444" s="10">
        <f t="shared" si="13"/>
        <v>0.51666666666666661</v>
      </c>
      <c r="J444" s="35">
        <f>IF($I$11&gt;Table4[[#This Row],[Working Hours]],$F$6-Table4[[#This Row],[Working Hours]],0)</f>
        <v>0</v>
      </c>
      <c r="K444" s="20" t="s">
        <v>239</v>
      </c>
    </row>
    <row r="445" spans="3:11" x14ac:dyDescent="0.25">
      <c r="C445" s="13" t="s">
        <v>58</v>
      </c>
      <c r="D445" s="8">
        <v>45790</v>
      </c>
      <c r="E445" s="7" t="s">
        <v>18</v>
      </c>
      <c r="F445" s="9">
        <v>0.3354166666666667</v>
      </c>
      <c r="G445" s="9">
        <v>0.9145833333333333</v>
      </c>
      <c r="H445" s="10">
        <f t="shared" si="12"/>
        <v>2.0833333333333814E-3</v>
      </c>
      <c r="I445" s="10">
        <f t="shared" si="13"/>
        <v>0.57916666666666661</v>
      </c>
      <c r="J445" s="35">
        <f>IF($I$11&gt;Table4[[#This Row],[Working Hours]],$F$6-Table4[[#This Row],[Working Hours]],0)</f>
        <v>0</v>
      </c>
      <c r="K445" s="20" t="s">
        <v>239</v>
      </c>
    </row>
    <row r="446" spans="3:11" x14ac:dyDescent="0.25">
      <c r="C446" s="13" t="s">
        <v>58</v>
      </c>
      <c r="D446" s="8">
        <v>45791</v>
      </c>
      <c r="E446" s="7" t="s">
        <v>19</v>
      </c>
      <c r="F446" s="9">
        <v>0.47916666666666669</v>
      </c>
      <c r="G446" s="9">
        <v>0.90069444444444446</v>
      </c>
      <c r="H446" s="10">
        <f t="shared" si="12"/>
        <v>0.14583333333333337</v>
      </c>
      <c r="I446" s="10">
        <f t="shared" si="13"/>
        <v>0.42152777777777778</v>
      </c>
      <c r="J446" s="35">
        <f>IF($I$11&gt;Table4[[#This Row],[Working Hours]],$F$6-Table4[[#This Row],[Working Hours]],0)</f>
        <v>0</v>
      </c>
      <c r="K446" s="20" t="s">
        <v>239</v>
      </c>
    </row>
    <row r="447" spans="3:11" x14ac:dyDescent="0.25">
      <c r="C447" s="13" t="s">
        <v>58</v>
      </c>
      <c r="D447" s="8">
        <v>45792</v>
      </c>
      <c r="E447" s="7" t="s">
        <v>7</v>
      </c>
      <c r="F447" s="9"/>
      <c r="G447" s="9"/>
      <c r="H447" s="10">
        <f t="shared" si="12"/>
        <v>0</v>
      </c>
      <c r="I447" s="10">
        <f t="shared" si="13"/>
        <v>0</v>
      </c>
      <c r="J447" s="35">
        <f>IF($I$11&gt;Table4[[#This Row],[Working Hours]],$F$6-Table4[[#This Row],[Working Hours]],0)</f>
        <v>0.33333333333333331</v>
      </c>
      <c r="K447" s="20" t="s">
        <v>240</v>
      </c>
    </row>
    <row r="448" spans="3:11" x14ac:dyDescent="0.25">
      <c r="C448" s="13" t="s">
        <v>58</v>
      </c>
      <c r="D448" s="8">
        <v>45793</v>
      </c>
      <c r="E448" s="7" t="s">
        <v>8</v>
      </c>
      <c r="F448" s="9"/>
      <c r="G448" s="9"/>
      <c r="H448" s="10">
        <f t="shared" si="12"/>
        <v>0</v>
      </c>
      <c r="I448" s="10">
        <f t="shared" si="13"/>
        <v>0</v>
      </c>
      <c r="J448" s="35">
        <f>IF($I$11&gt;Table4[[#This Row],[Working Hours]],$F$6-Table4[[#This Row],[Working Hours]],0)</f>
        <v>0.33333333333333331</v>
      </c>
      <c r="K448" s="20" t="s">
        <v>240</v>
      </c>
    </row>
    <row r="449" spans="3:11" x14ac:dyDescent="0.25">
      <c r="C449" s="13" t="s">
        <v>58</v>
      </c>
      <c r="D449" s="8">
        <v>45794</v>
      </c>
      <c r="E449" s="7" t="s">
        <v>20</v>
      </c>
      <c r="F449" s="9">
        <v>0.4909722222222222</v>
      </c>
      <c r="G449" s="9">
        <v>0.8652777777777777</v>
      </c>
      <c r="H449" s="10">
        <f t="shared" si="12"/>
        <v>0.15763888888888888</v>
      </c>
      <c r="I449" s="10">
        <f t="shared" si="13"/>
        <v>0.3743055555555555</v>
      </c>
      <c r="J449" s="35">
        <v>0</v>
      </c>
      <c r="K449" s="20" t="s">
        <v>239</v>
      </c>
    </row>
    <row r="450" spans="3:11" x14ac:dyDescent="0.25">
      <c r="C450" s="13" t="s">
        <v>58</v>
      </c>
      <c r="D450" s="8">
        <v>45795</v>
      </c>
      <c r="E450" s="7" t="s">
        <v>21</v>
      </c>
      <c r="F450" s="9">
        <v>0.43263888888888885</v>
      </c>
      <c r="G450" s="9">
        <v>0.94444444444444453</v>
      </c>
      <c r="H450" s="10">
        <f t="shared" si="12"/>
        <v>9.9305555555555536E-2</v>
      </c>
      <c r="I450" s="10">
        <f t="shared" si="13"/>
        <v>0.51180555555555562</v>
      </c>
      <c r="J450" s="35">
        <f>IF($I$11&gt;Table4[[#This Row],[Working Hours]],$F$6-Table4[[#This Row],[Working Hours]],0)</f>
        <v>0</v>
      </c>
      <c r="K450" s="20" t="s">
        <v>239</v>
      </c>
    </row>
    <row r="451" spans="3:11" x14ac:dyDescent="0.25">
      <c r="C451" s="13" t="s">
        <v>58</v>
      </c>
      <c r="D451" s="8">
        <v>45796</v>
      </c>
      <c r="E451" s="7" t="s">
        <v>22</v>
      </c>
      <c r="F451" s="9">
        <v>0.32777777777777778</v>
      </c>
      <c r="G451" s="9">
        <v>0.98472222222222217</v>
      </c>
      <c r="H451" s="10">
        <f t="shared" si="12"/>
        <v>0</v>
      </c>
      <c r="I451" s="10">
        <f t="shared" si="13"/>
        <v>0.65694444444444433</v>
      </c>
      <c r="J451" s="35">
        <f>IF($I$11&gt;Table4[[#This Row],[Working Hours]],$F$6-Table4[[#This Row],[Working Hours]],0)</f>
        <v>0</v>
      </c>
      <c r="K451" s="20" t="s">
        <v>239</v>
      </c>
    </row>
    <row r="452" spans="3:11" x14ac:dyDescent="0.25">
      <c r="C452" s="13" t="s">
        <v>58</v>
      </c>
      <c r="D452" s="8">
        <v>45797</v>
      </c>
      <c r="E452" s="7" t="s">
        <v>18</v>
      </c>
      <c r="F452" s="9">
        <v>0.40277777777777773</v>
      </c>
      <c r="G452" s="9">
        <v>0.94374999999999998</v>
      </c>
      <c r="H452" s="10">
        <f t="shared" si="12"/>
        <v>6.944444444444442E-2</v>
      </c>
      <c r="I452" s="10">
        <f t="shared" si="13"/>
        <v>0.54097222222222219</v>
      </c>
      <c r="J452" s="35">
        <f>IF($I$11&gt;Table4[[#This Row],[Working Hours]],$F$6-Table4[[#This Row],[Working Hours]],0)</f>
        <v>0</v>
      </c>
      <c r="K452" s="20" t="s">
        <v>239</v>
      </c>
    </row>
    <row r="453" spans="3:11" x14ac:dyDescent="0.25">
      <c r="C453" s="13" t="s">
        <v>58</v>
      </c>
      <c r="D453" s="8">
        <v>45798</v>
      </c>
      <c r="E453" s="7" t="s">
        <v>19</v>
      </c>
      <c r="F453" s="9">
        <v>0.48402777777777778</v>
      </c>
      <c r="G453" s="9">
        <v>0.95416666666666661</v>
      </c>
      <c r="H453" s="10">
        <f t="shared" si="12"/>
        <v>0.15069444444444446</v>
      </c>
      <c r="I453" s="10">
        <f t="shared" si="13"/>
        <v>0.47013888888888883</v>
      </c>
      <c r="J453" s="35">
        <f>IF($I$11&gt;Table4[[#This Row],[Working Hours]],$F$6-Table4[[#This Row],[Working Hours]],0)</f>
        <v>0</v>
      </c>
      <c r="K453" s="20" t="s">
        <v>239</v>
      </c>
    </row>
    <row r="454" spans="3:11" x14ac:dyDescent="0.25">
      <c r="C454" s="13" t="s">
        <v>58</v>
      </c>
      <c r="D454" s="8">
        <v>45799</v>
      </c>
      <c r="E454" s="7" t="s">
        <v>7</v>
      </c>
      <c r="F454" s="9"/>
      <c r="G454" s="9"/>
      <c r="H454" s="10">
        <f t="shared" si="12"/>
        <v>0</v>
      </c>
      <c r="I454" s="10">
        <f t="shared" si="13"/>
        <v>0</v>
      </c>
      <c r="J454" s="35">
        <f>IF($I$11&gt;Table4[[#This Row],[Working Hours]],$F$6-Table4[[#This Row],[Working Hours]],0)</f>
        <v>0.33333333333333331</v>
      </c>
      <c r="K454" s="20" t="s">
        <v>240</v>
      </c>
    </row>
    <row r="455" spans="3:11" x14ac:dyDescent="0.25">
      <c r="C455" s="13" t="s">
        <v>58</v>
      </c>
      <c r="D455" s="8">
        <v>45800</v>
      </c>
      <c r="E455" s="7" t="s">
        <v>8</v>
      </c>
      <c r="F455" s="9"/>
      <c r="G455" s="9"/>
      <c r="H455" s="10">
        <f t="shared" si="12"/>
        <v>0</v>
      </c>
      <c r="I455" s="10">
        <f t="shared" si="13"/>
        <v>0</v>
      </c>
      <c r="J455" s="35">
        <f>IF($I$11&gt;Table4[[#This Row],[Working Hours]],$F$6-Table4[[#This Row],[Working Hours]],0)</f>
        <v>0.33333333333333331</v>
      </c>
      <c r="K455" s="20" t="s">
        <v>240</v>
      </c>
    </row>
    <row r="456" spans="3:11" x14ac:dyDescent="0.25">
      <c r="C456" s="13" t="s">
        <v>58</v>
      </c>
      <c r="D456" s="8">
        <v>45801</v>
      </c>
      <c r="E456" s="7" t="s">
        <v>20</v>
      </c>
      <c r="F456" s="9">
        <v>0.40416666666666662</v>
      </c>
      <c r="G456" s="9">
        <v>0.88541666666666663</v>
      </c>
      <c r="H456" s="10">
        <f t="shared" si="12"/>
        <v>7.0833333333333304E-2</v>
      </c>
      <c r="I456" s="10">
        <f t="shared" si="13"/>
        <v>0.48125000000000001</v>
      </c>
      <c r="J456" s="35">
        <f>IF($I$11&gt;Table4[[#This Row],[Working Hours]],$F$6-Table4[[#This Row],[Working Hours]],0)</f>
        <v>0</v>
      </c>
      <c r="K456" s="20" t="s">
        <v>239</v>
      </c>
    </row>
    <row r="457" spans="3:11" x14ac:dyDescent="0.25">
      <c r="C457" s="13" t="s">
        <v>58</v>
      </c>
      <c r="D457" s="8">
        <v>45802</v>
      </c>
      <c r="E457" s="7" t="s">
        <v>21</v>
      </c>
      <c r="F457" s="9">
        <v>0.3923611111111111</v>
      </c>
      <c r="G457" s="9">
        <v>0.97569444444444453</v>
      </c>
      <c r="H457" s="10">
        <f t="shared" si="12"/>
        <v>5.902777777777779E-2</v>
      </c>
      <c r="I457" s="10">
        <f t="shared" si="13"/>
        <v>0.58333333333333348</v>
      </c>
      <c r="J457" s="35">
        <f>IF($I$11&gt;Table4[[#This Row],[Working Hours]],$F$6-Table4[[#This Row],[Working Hours]],0)</f>
        <v>0</v>
      </c>
      <c r="K457" s="20" t="s">
        <v>239</v>
      </c>
    </row>
    <row r="458" spans="3:11" x14ac:dyDescent="0.25">
      <c r="C458" s="13" t="s">
        <v>58</v>
      </c>
      <c r="D458" s="8">
        <v>45803</v>
      </c>
      <c r="E458" s="7" t="s">
        <v>22</v>
      </c>
      <c r="F458" s="9">
        <v>0.36041666666666666</v>
      </c>
      <c r="G458" s="9">
        <v>0.86249999999999993</v>
      </c>
      <c r="H458" s="10">
        <f t="shared" si="12"/>
        <v>2.7083333333333348E-2</v>
      </c>
      <c r="I458" s="10">
        <f t="shared" si="13"/>
        <v>0.50208333333333321</v>
      </c>
      <c r="J458" s="35">
        <f>IF($I$11&gt;Table4[[#This Row],[Working Hours]],$F$6-Table4[[#This Row],[Working Hours]],0)</f>
        <v>0</v>
      </c>
      <c r="K458" s="20" t="s">
        <v>239</v>
      </c>
    </row>
    <row r="459" spans="3:11" x14ac:dyDescent="0.25">
      <c r="C459" s="13" t="s">
        <v>58</v>
      </c>
      <c r="D459" s="8">
        <v>45804</v>
      </c>
      <c r="E459" s="7" t="s">
        <v>18</v>
      </c>
      <c r="F459" s="9">
        <v>0.37222222222222223</v>
      </c>
      <c r="G459" s="9">
        <v>0.94791666666666663</v>
      </c>
      <c r="H459" s="10">
        <f t="shared" si="12"/>
        <v>3.8888888888888917E-2</v>
      </c>
      <c r="I459" s="10">
        <f t="shared" si="13"/>
        <v>0.5756944444444444</v>
      </c>
      <c r="J459" s="35">
        <f>IF($I$11&gt;Table4[[#This Row],[Working Hours]],$F$6-Table4[[#This Row],[Working Hours]],0)</f>
        <v>0</v>
      </c>
      <c r="K459" s="20" t="s">
        <v>239</v>
      </c>
    </row>
    <row r="460" spans="3:11" x14ac:dyDescent="0.25">
      <c r="C460" s="13" t="s">
        <v>58</v>
      </c>
      <c r="D460" s="8">
        <v>45805</v>
      </c>
      <c r="E460" s="7" t="s">
        <v>19</v>
      </c>
      <c r="F460" s="9">
        <v>0.31736111111111115</v>
      </c>
      <c r="G460" s="9">
        <v>0.94027777777777777</v>
      </c>
      <c r="H460" s="10">
        <f t="shared" ref="H460:H523" si="14">IF($F460&gt;$F$6,$F460-$F$6,0)</f>
        <v>0</v>
      </c>
      <c r="I460" s="10">
        <f t="shared" ref="I460:I523" si="15">$G460-$F460</f>
        <v>0.62291666666666656</v>
      </c>
      <c r="J460" s="35">
        <f>IF($I$11&gt;Table4[[#This Row],[Working Hours]],$F$6-Table4[[#This Row],[Working Hours]],0)</f>
        <v>0</v>
      </c>
      <c r="K460" s="20" t="s">
        <v>239</v>
      </c>
    </row>
    <row r="461" spans="3:11" x14ac:dyDescent="0.25">
      <c r="C461" s="13" t="s">
        <v>58</v>
      </c>
      <c r="D461" s="8">
        <v>45806</v>
      </c>
      <c r="E461" s="7" t="s">
        <v>7</v>
      </c>
      <c r="F461" s="9"/>
      <c r="G461" s="9"/>
      <c r="H461" s="10">
        <f t="shared" si="14"/>
        <v>0</v>
      </c>
      <c r="I461" s="10">
        <f t="shared" si="15"/>
        <v>0</v>
      </c>
      <c r="J461" s="35">
        <f>IF($I$11&gt;Table4[[#This Row],[Working Hours]],$F$6-Table4[[#This Row],[Working Hours]],0)</f>
        <v>0.33333333333333331</v>
      </c>
      <c r="K461" s="20" t="s">
        <v>240</v>
      </c>
    </row>
    <row r="462" spans="3:11" x14ac:dyDescent="0.25">
      <c r="C462" s="13" t="s">
        <v>58</v>
      </c>
      <c r="D462" s="8">
        <v>45807</v>
      </c>
      <c r="E462" s="7" t="s">
        <v>8</v>
      </c>
      <c r="F462" s="9"/>
      <c r="G462" s="9"/>
      <c r="H462" s="10">
        <f t="shared" si="14"/>
        <v>0</v>
      </c>
      <c r="I462" s="10">
        <f t="shared" si="15"/>
        <v>0</v>
      </c>
      <c r="J462" s="35">
        <f>IF($I$11&gt;Table4[[#This Row],[Working Hours]],$F$6-Table4[[#This Row],[Working Hours]],0)</f>
        <v>0.33333333333333331</v>
      </c>
      <c r="K462" s="20" t="s">
        <v>240</v>
      </c>
    </row>
    <row r="463" spans="3:11" x14ac:dyDescent="0.25">
      <c r="C463" s="13" t="s">
        <v>58</v>
      </c>
      <c r="D463" s="8">
        <v>45808</v>
      </c>
      <c r="E463" s="7" t="s">
        <v>20</v>
      </c>
      <c r="F463" s="9">
        <v>0.4909722222222222</v>
      </c>
      <c r="G463" s="9">
        <v>0.95000000000000007</v>
      </c>
      <c r="H463" s="10">
        <f t="shared" si="14"/>
        <v>0.15763888888888888</v>
      </c>
      <c r="I463" s="10">
        <f t="shared" si="15"/>
        <v>0.45902777777777787</v>
      </c>
      <c r="J463" s="35">
        <f>IF($I$11&gt;Table4[[#This Row],[Working Hours]],$F$6-Table4[[#This Row],[Working Hours]],0)</f>
        <v>0</v>
      </c>
      <c r="K463" s="20" t="s">
        <v>239</v>
      </c>
    </row>
    <row r="464" spans="3:11" x14ac:dyDescent="0.25">
      <c r="C464" s="13" t="s">
        <v>49</v>
      </c>
      <c r="D464" s="8">
        <v>45658</v>
      </c>
      <c r="E464" s="7" t="s">
        <v>21</v>
      </c>
      <c r="F464" s="9"/>
      <c r="G464" s="9"/>
      <c r="H464" s="10">
        <f t="shared" si="14"/>
        <v>0</v>
      </c>
      <c r="I464" s="10">
        <f t="shared" si="15"/>
        <v>0</v>
      </c>
      <c r="J464" s="35">
        <f>IF($I$11&gt;Table4[[#This Row],[Working Hours]],$F$6-Table4[[#This Row],[Working Hours]],0)</f>
        <v>0.33333333333333331</v>
      </c>
      <c r="K464" s="20" t="s">
        <v>238</v>
      </c>
    </row>
    <row r="465" spans="3:11" x14ac:dyDescent="0.25">
      <c r="C465" s="13" t="s">
        <v>49</v>
      </c>
      <c r="D465" s="8">
        <v>45659</v>
      </c>
      <c r="E465" s="7" t="s">
        <v>22</v>
      </c>
      <c r="F465" s="9"/>
      <c r="G465" s="9"/>
      <c r="H465" s="10">
        <f t="shared" si="14"/>
        <v>0</v>
      </c>
      <c r="I465" s="10">
        <f t="shared" si="15"/>
        <v>0</v>
      </c>
      <c r="J465" s="35">
        <f>IF($I$11&gt;Table4[[#This Row],[Working Hours]],$F$6-Table4[[#This Row],[Working Hours]],0)</f>
        <v>0.33333333333333331</v>
      </c>
      <c r="K465" s="20" t="s">
        <v>238</v>
      </c>
    </row>
    <row r="466" spans="3:11" x14ac:dyDescent="0.25">
      <c r="C466" s="13" t="s">
        <v>49</v>
      </c>
      <c r="D466" s="8">
        <v>45660</v>
      </c>
      <c r="E466" s="7" t="s">
        <v>18</v>
      </c>
      <c r="F466" s="9"/>
      <c r="G466" s="9"/>
      <c r="H466" s="10">
        <f t="shared" si="14"/>
        <v>0</v>
      </c>
      <c r="I466" s="10">
        <f t="shared" si="15"/>
        <v>0</v>
      </c>
      <c r="J466" s="35">
        <f>IF($I$11&gt;Table4[[#This Row],[Working Hours]],$F$6-Table4[[#This Row],[Working Hours]],0)</f>
        <v>0.33333333333333331</v>
      </c>
      <c r="K466" s="20" t="s">
        <v>238</v>
      </c>
    </row>
    <row r="467" spans="3:11" x14ac:dyDescent="0.25">
      <c r="C467" s="13" t="s">
        <v>49</v>
      </c>
      <c r="D467" s="8">
        <v>45661</v>
      </c>
      <c r="E467" s="7" t="s">
        <v>19</v>
      </c>
      <c r="F467" s="9">
        <v>0.44027777777777777</v>
      </c>
      <c r="G467" s="9">
        <v>0.89027777777777783</v>
      </c>
      <c r="H467" s="10">
        <f t="shared" si="14"/>
        <v>0.10694444444444445</v>
      </c>
      <c r="I467" s="10">
        <f t="shared" si="15"/>
        <v>0.45000000000000007</v>
      </c>
      <c r="J467" s="35">
        <f>IF($I$11&gt;Table4[[#This Row],[Working Hours]],$F$6-Table4[[#This Row],[Working Hours]],0)</f>
        <v>0</v>
      </c>
      <c r="K467" s="20" t="s">
        <v>239</v>
      </c>
    </row>
    <row r="468" spans="3:11" x14ac:dyDescent="0.25">
      <c r="C468" s="13" t="s">
        <v>49</v>
      </c>
      <c r="D468" s="8">
        <v>45662</v>
      </c>
      <c r="E468" s="7" t="s">
        <v>7</v>
      </c>
      <c r="F468" s="9"/>
      <c r="G468" s="9"/>
      <c r="H468" s="10">
        <f t="shared" si="14"/>
        <v>0</v>
      </c>
      <c r="I468" s="10">
        <f t="shared" si="15"/>
        <v>0</v>
      </c>
      <c r="J468" s="35">
        <f>IF($I$11&gt;Table4[[#This Row],[Working Hours]],$F$6-Table4[[#This Row],[Working Hours]],0)</f>
        <v>0.33333333333333331</v>
      </c>
      <c r="K468" s="20" t="s">
        <v>240</v>
      </c>
    </row>
    <row r="469" spans="3:11" x14ac:dyDescent="0.25">
      <c r="C469" s="13" t="s">
        <v>49</v>
      </c>
      <c r="D469" s="8">
        <v>45663</v>
      </c>
      <c r="E469" s="7" t="s">
        <v>8</v>
      </c>
      <c r="F469" s="9"/>
      <c r="G469" s="9"/>
      <c r="H469" s="10">
        <f t="shared" si="14"/>
        <v>0</v>
      </c>
      <c r="I469" s="10">
        <f t="shared" si="15"/>
        <v>0</v>
      </c>
      <c r="J469" s="35">
        <f>IF($I$11&gt;Table4[[#This Row],[Working Hours]],$F$6-Table4[[#This Row],[Working Hours]],0)</f>
        <v>0.33333333333333331</v>
      </c>
      <c r="K469" s="20" t="s">
        <v>240</v>
      </c>
    </row>
    <row r="470" spans="3:11" x14ac:dyDescent="0.25">
      <c r="C470" s="13" t="s">
        <v>49</v>
      </c>
      <c r="D470" s="8">
        <v>45664</v>
      </c>
      <c r="E470" s="7" t="s">
        <v>20</v>
      </c>
      <c r="F470" s="9">
        <v>0.3444444444444445</v>
      </c>
      <c r="G470" s="9">
        <v>0.89722222222222225</v>
      </c>
      <c r="H470" s="10">
        <f t="shared" si="14"/>
        <v>1.1111111111111183E-2</v>
      </c>
      <c r="I470" s="10">
        <f t="shared" si="15"/>
        <v>0.55277777777777781</v>
      </c>
      <c r="J470" s="35">
        <f>IF($I$11&gt;Table4[[#This Row],[Working Hours]],$F$6-Table4[[#This Row],[Working Hours]],0)</f>
        <v>0</v>
      </c>
      <c r="K470" s="20" t="s">
        <v>239</v>
      </c>
    </row>
    <row r="471" spans="3:11" x14ac:dyDescent="0.25">
      <c r="C471" s="13" t="s">
        <v>49</v>
      </c>
      <c r="D471" s="8">
        <v>45665</v>
      </c>
      <c r="E471" s="7" t="s">
        <v>21</v>
      </c>
      <c r="F471" s="9">
        <v>0.35138888888888892</v>
      </c>
      <c r="G471" s="9">
        <v>0.90555555555555556</v>
      </c>
      <c r="H471" s="10">
        <f t="shared" si="14"/>
        <v>1.8055555555555602E-2</v>
      </c>
      <c r="I471" s="10">
        <f t="shared" si="15"/>
        <v>0.5541666666666667</v>
      </c>
      <c r="J471" s="35">
        <f>IF($I$11&gt;Table4[[#This Row],[Working Hours]],$F$6-Table4[[#This Row],[Working Hours]],0)</f>
        <v>0</v>
      </c>
      <c r="K471" s="20" t="s">
        <v>239</v>
      </c>
    </row>
    <row r="472" spans="3:11" x14ac:dyDescent="0.25">
      <c r="C472" s="13" t="s">
        <v>49</v>
      </c>
      <c r="D472" s="8">
        <v>45666</v>
      </c>
      <c r="E472" s="7" t="s">
        <v>22</v>
      </c>
      <c r="F472" s="9">
        <v>0.45</v>
      </c>
      <c r="G472" s="9">
        <v>0.97222222222222221</v>
      </c>
      <c r="H472" s="10">
        <f t="shared" si="14"/>
        <v>0.1166666666666667</v>
      </c>
      <c r="I472" s="10">
        <f t="shared" si="15"/>
        <v>0.52222222222222214</v>
      </c>
      <c r="J472" s="35">
        <f>IF($I$11&gt;Table4[[#This Row],[Working Hours]],$F$6-Table4[[#This Row],[Working Hours]],0)</f>
        <v>0</v>
      </c>
      <c r="K472" s="20" t="s">
        <v>239</v>
      </c>
    </row>
    <row r="473" spans="3:11" x14ac:dyDescent="0.25">
      <c r="C473" s="13" t="s">
        <v>49</v>
      </c>
      <c r="D473" s="8">
        <v>45667</v>
      </c>
      <c r="E473" s="7" t="s">
        <v>18</v>
      </c>
      <c r="F473" s="9">
        <v>0.49791666666666662</v>
      </c>
      <c r="G473" s="9">
        <v>0.8930555555555556</v>
      </c>
      <c r="H473" s="10">
        <f t="shared" si="14"/>
        <v>0.1645833333333333</v>
      </c>
      <c r="I473" s="10">
        <f t="shared" si="15"/>
        <v>0.39513888888888898</v>
      </c>
      <c r="J473" s="35">
        <f>IF($I$11&gt;Table4[[#This Row],[Working Hours]],$F$6-Table4[[#This Row],[Working Hours]],0)</f>
        <v>0</v>
      </c>
      <c r="K473" s="20" t="s">
        <v>239</v>
      </c>
    </row>
    <row r="474" spans="3:11" x14ac:dyDescent="0.25">
      <c r="C474" s="13" t="s">
        <v>49</v>
      </c>
      <c r="D474" s="8">
        <v>45668</v>
      </c>
      <c r="E474" s="7" t="s">
        <v>19</v>
      </c>
      <c r="F474" s="9">
        <v>0.39513888888888887</v>
      </c>
      <c r="G474" s="9">
        <v>0.88541666666666663</v>
      </c>
      <c r="H474" s="10">
        <f t="shared" si="14"/>
        <v>6.1805555555555558E-2</v>
      </c>
      <c r="I474" s="10">
        <f t="shared" si="15"/>
        <v>0.49027777777777776</v>
      </c>
      <c r="J474" s="35">
        <f>IF($I$11&gt;Table4[[#This Row],[Working Hours]],$F$6-Table4[[#This Row],[Working Hours]],0)</f>
        <v>0</v>
      </c>
      <c r="K474" s="20" t="s">
        <v>239</v>
      </c>
    </row>
    <row r="475" spans="3:11" x14ac:dyDescent="0.25">
      <c r="C475" s="13" t="s">
        <v>49</v>
      </c>
      <c r="D475" s="8">
        <v>45669</v>
      </c>
      <c r="E475" s="7" t="s">
        <v>7</v>
      </c>
      <c r="F475" s="9"/>
      <c r="G475" s="9"/>
      <c r="H475" s="10">
        <f t="shared" si="14"/>
        <v>0</v>
      </c>
      <c r="I475" s="10">
        <f t="shared" si="15"/>
        <v>0</v>
      </c>
      <c r="J475" s="35">
        <f>IF($I$11&gt;Table4[[#This Row],[Working Hours]],$F$6-Table4[[#This Row],[Working Hours]],0)</f>
        <v>0.33333333333333331</v>
      </c>
      <c r="K475" s="20" t="s">
        <v>240</v>
      </c>
    </row>
    <row r="476" spans="3:11" x14ac:dyDescent="0.25">
      <c r="C476" s="13" t="s">
        <v>49</v>
      </c>
      <c r="D476" s="8">
        <v>45670</v>
      </c>
      <c r="E476" s="7" t="s">
        <v>8</v>
      </c>
      <c r="F476" s="9"/>
      <c r="G476" s="9"/>
      <c r="H476" s="10">
        <f t="shared" si="14"/>
        <v>0</v>
      </c>
      <c r="I476" s="10">
        <f t="shared" si="15"/>
        <v>0</v>
      </c>
      <c r="J476" s="35">
        <f>IF($I$11&gt;Table4[[#This Row],[Working Hours]],$F$6-Table4[[#This Row],[Working Hours]],0)</f>
        <v>0.33333333333333331</v>
      </c>
      <c r="K476" s="20" t="s">
        <v>240</v>
      </c>
    </row>
    <row r="477" spans="3:11" x14ac:dyDescent="0.25">
      <c r="C477" s="13" t="s">
        <v>49</v>
      </c>
      <c r="D477" s="8">
        <v>45671</v>
      </c>
      <c r="E477" s="7" t="s">
        <v>20</v>
      </c>
      <c r="F477" s="9">
        <v>0.49513888888888885</v>
      </c>
      <c r="G477" s="9">
        <v>0.87430555555555556</v>
      </c>
      <c r="H477" s="10">
        <f t="shared" si="14"/>
        <v>0.16180555555555554</v>
      </c>
      <c r="I477" s="10">
        <f t="shared" si="15"/>
        <v>0.37916666666666671</v>
      </c>
      <c r="J477" s="35">
        <v>0</v>
      </c>
      <c r="K477" s="20" t="s">
        <v>72</v>
      </c>
    </row>
    <row r="478" spans="3:11" x14ac:dyDescent="0.25">
      <c r="C478" s="13" t="s">
        <v>49</v>
      </c>
      <c r="D478" s="8">
        <v>45672</v>
      </c>
      <c r="E478" s="7" t="s">
        <v>21</v>
      </c>
      <c r="F478" s="9">
        <v>0.35347222222222219</v>
      </c>
      <c r="G478" s="9">
        <v>0.8666666666666667</v>
      </c>
      <c r="H478" s="10">
        <f t="shared" si="14"/>
        <v>2.0138888888888873E-2</v>
      </c>
      <c r="I478" s="10">
        <f t="shared" si="15"/>
        <v>0.51319444444444451</v>
      </c>
      <c r="J478" s="35">
        <f>IF($I$11&gt;Table4[[#This Row],[Working Hours]],$F$6-Table4[[#This Row],[Working Hours]],0)</f>
        <v>0</v>
      </c>
      <c r="K478" s="20" t="s">
        <v>239</v>
      </c>
    </row>
    <row r="479" spans="3:11" x14ac:dyDescent="0.25">
      <c r="C479" s="13" t="s">
        <v>49</v>
      </c>
      <c r="D479" s="8">
        <v>45673</v>
      </c>
      <c r="E479" s="7" t="s">
        <v>22</v>
      </c>
      <c r="F479" s="9">
        <v>0.44097222222222227</v>
      </c>
      <c r="G479" s="9">
        <v>0.86944444444444446</v>
      </c>
      <c r="H479" s="10">
        <f t="shared" si="14"/>
        <v>0.10763888888888895</v>
      </c>
      <c r="I479" s="10">
        <f t="shared" si="15"/>
        <v>0.4284722222222222</v>
      </c>
      <c r="J479" s="35">
        <f>IF($I$11&gt;Table4[[#This Row],[Working Hours]],$F$6-Table4[[#This Row],[Working Hours]],0)</f>
        <v>0</v>
      </c>
      <c r="K479" s="20" t="s">
        <v>239</v>
      </c>
    </row>
    <row r="480" spans="3:11" x14ac:dyDescent="0.25">
      <c r="C480" s="13" t="s">
        <v>49</v>
      </c>
      <c r="D480" s="8">
        <v>45674</v>
      </c>
      <c r="E480" s="7" t="s">
        <v>18</v>
      </c>
      <c r="F480" s="9">
        <v>0.30277777777777776</v>
      </c>
      <c r="G480" s="9">
        <v>0.93819444444444444</v>
      </c>
      <c r="H480" s="10">
        <f t="shared" si="14"/>
        <v>0</v>
      </c>
      <c r="I480" s="10">
        <f t="shared" si="15"/>
        <v>0.63541666666666674</v>
      </c>
      <c r="J480" s="35">
        <f>IF($I$11&gt;Table4[[#This Row],[Working Hours]],$F$6-Table4[[#This Row],[Working Hours]],0)</f>
        <v>0</v>
      </c>
      <c r="K480" s="20" t="s">
        <v>239</v>
      </c>
    </row>
    <row r="481" spans="3:11" x14ac:dyDescent="0.25">
      <c r="C481" s="13" t="s">
        <v>49</v>
      </c>
      <c r="D481" s="8">
        <v>45675</v>
      </c>
      <c r="E481" s="7" t="s">
        <v>19</v>
      </c>
      <c r="F481" s="9">
        <v>0.31041666666666667</v>
      </c>
      <c r="G481" s="9">
        <v>0.98749999999999993</v>
      </c>
      <c r="H481" s="10">
        <f t="shared" si="14"/>
        <v>0</v>
      </c>
      <c r="I481" s="10">
        <f t="shared" si="15"/>
        <v>0.67708333333333326</v>
      </c>
      <c r="J481" s="35">
        <f>IF($I$11&gt;Table4[[#This Row],[Working Hours]],$F$6-Table4[[#This Row],[Working Hours]],0)</f>
        <v>0</v>
      </c>
      <c r="K481" s="20" t="s">
        <v>239</v>
      </c>
    </row>
    <row r="482" spans="3:11" x14ac:dyDescent="0.25">
      <c r="C482" s="13" t="s">
        <v>49</v>
      </c>
      <c r="D482" s="8">
        <v>45676</v>
      </c>
      <c r="E482" s="7" t="s">
        <v>7</v>
      </c>
      <c r="F482" s="9"/>
      <c r="G482" s="9"/>
      <c r="H482" s="10">
        <f t="shared" si="14"/>
        <v>0</v>
      </c>
      <c r="I482" s="10">
        <f t="shared" si="15"/>
        <v>0</v>
      </c>
      <c r="J482" s="35">
        <f>IF($I$11&gt;Table4[[#This Row],[Working Hours]],$F$6-Table4[[#This Row],[Working Hours]],0)</f>
        <v>0.33333333333333331</v>
      </c>
      <c r="K482" s="20" t="s">
        <v>240</v>
      </c>
    </row>
    <row r="483" spans="3:11" x14ac:dyDescent="0.25">
      <c r="C483" s="13" t="s">
        <v>49</v>
      </c>
      <c r="D483" s="8">
        <v>45677</v>
      </c>
      <c r="E483" s="7" t="s">
        <v>8</v>
      </c>
      <c r="F483" s="9"/>
      <c r="G483" s="9"/>
      <c r="H483" s="10">
        <f t="shared" si="14"/>
        <v>0</v>
      </c>
      <c r="I483" s="10">
        <f t="shared" si="15"/>
        <v>0</v>
      </c>
      <c r="J483" s="35">
        <f>IF($I$11&gt;Table4[[#This Row],[Working Hours]],$F$6-Table4[[#This Row],[Working Hours]],0)</f>
        <v>0.33333333333333331</v>
      </c>
      <c r="K483" s="20" t="s">
        <v>240</v>
      </c>
    </row>
    <row r="484" spans="3:11" x14ac:dyDescent="0.25">
      <c r="C484" s="13" t="s">
        <v>49</v>
      </c>
      <c r="D484" s="8">
        <v>45678</v>
      </c>
      <c r="E484" s="7" t="s">
        <v>20</v>
      </c>
      <c r="F484" s="9">
        <v>0.46736111111111112</v>
      </c>
      <c r="G484" s="9">
        <v>0.93402777777777779</v>
      </c>
      <c r="H484" s="10">
        <f t="shared" si="14"/>
        <v>0.1340277777777778</v>
      </c>
      <c r="I484" s="10">
        <f t="shared" si="15"/>
        <v>0.46666666666666667</v>
      </c>
      <c r="J484" s="35">
        <f>IF($I$11&gt;Table4[[#This Row],[Working Hours]],$F$6-Table4[[#This Row],[Working Hours]],0)</f>
        <v>0</v>
      </c>
      <c r="K484" s="20" t="s">
        <v>239</v>
      </c>
    </row>
    <row r="485" spans="3:11" x14ac:dyDescent="0.25">
      <c r="C485" s="13" t="s">
        <v>49</v>
      </c>
      <c r="D485" s="8">
        <v>45679</v>
      </c>
      <c r="E485" s="7" t="s">
        <v>21</v>
      </c>
      <c r="F485" s="9">
        <v>0.40486111111111112</v>
      </c>
      <c r="G485" s="9">
        <v>0.87430555555555556</v>
      </c>
      <c r="H485" s="10">
        <f t="shared" si="14"/>
        <v>7.1527777777777801E-2</v>
      </c>
      <c r="I485" s="10">
        <f t="shared" si="15"/>
        <v>0.46944444444444444</v>
      </c>
      <c r="J485" s="35">
        <f>IF($I$11&gt;Table4[[#This Row],[Working Hours]],$F$6-Table4[[#This Row],[Working Hours]],0)</f>
        <v>0</v>
      </c>
      <c r="K485" s="20" t="s">
        <v>239</v>
      </c>
    </row>
    <row r="486" spans="3:11" x14ac:dyDescent="0.25">
      <c r="C486" s="13" t="s">
        <v>49</v>
      </c>
      <c r="D486" s="8">
        <v>45680</v>
      </c>
      <c r="E486" s="7" t="s">
        <v>22</v>
      </c>
      <c r="F486" s="9">
        <v>0.35972222222222222</v>
      </c>
      <c r="G486" s="9">
        <v>0.94027777777777777</v>
      </c>
      <c r="H486" s="10">
        <f t="shared" si="14"/>
        <v>2.6388888888888906E-2</v>
      </c>
      <c r="I486" s="10">
        <f t="shared" si="15"/>
        <v>0.58055555555555549</v>
      </c>
      <c r="J486" s="35">
        <f>IF($I$11&gt;Table4[[#This Row],[Working Hours]],$F$6-Table4[[#This Row],[Working Hours]],0)</f>
        <v>0</v>
      </c>
      <c r="K486" s="20" t="s">
        <v>239</v>
      </c>
    </row>
    <row r="487" spans="3:11" x14ac:dyDescent="0.25">
      <c r="C487" s="13" t="s">
        <v>49</v>
      </c>
      <c r="D487" s="8">
        <v>45681</v>
      </c>
      <c r="E487" s="7" t="s">
        <v>18</v>
      </c>
      <c r="F487" s="9">
        <v>0.41944444444444445</v>
      </c>
      <c r="G487" s="9">
        <v>0.9819444444444444</v>
      </c>
      <c r="H487" s="10">
        <f t="shared" si="14"/>
        <v>8.6111111111111138E-2</v>
      </c>
      <c r="I487" s="10">
        <f t="shared" si="15"/>
        <v>0.5625</v>
      </c>
      <c r="J487" s="35">
        <f>IF($I$11&gt;Table4[[#This Row],[Working Hours]],$F$6-Table4[[#This Row],[Working Hours]],0)</f>
        <v>0</v>
      </c>
      <c r="K487" s="20" t="s">
        <v>239</v>
      </c>
    </row>
    <row r="488" spans="3:11" x14ac:dyDescent="0.25">
      <c r="C488" s="13" t="s">
        <v>49</v>
      </c>
      <c r="D488" s="8">
        <v>45682</v>
      </c>
      <c r="E488" s="7" t="s">
        <v>19</v>
      </c>
      <c r="F488" s="9">
        <v>0.39444444444444443</v>
      </c>
      <c r="G488" s="9">
        <v>0.97430555555555554</v>
      </c>
      <c r="H488" s="10">
        <f t="shared" si="14"/>
        <v>6.1111111111111116E-2</v>
      </c>
      <c r="I488" s="10">
        <f t="shared" si="15"/>
        <v>0.57986111111111116</v>
      </c>
      <c r="J488" s="35">
        <f>IF($I$11&gt;Table4[[#This Row],[Working Hours]],$F$6-Table4[[#This Row],[Working Hours]],0)</f>
        <v>0</v>
      </c>
      <c r="K488" s="20" t="s">
        <v>239</v>
      </c>
    </row>
    <row r="489" spans="3:11" x14ac:dyDescent="0.25">
      <c r="C489" s="13" t="s">
        <v>49</v>
      </c>
      <c r="D489" s="8">
        <v>45683</v>
      </c>
      <c r="E489" s="7" t="s">
        <v>7</v>
      </c>
      <c r="F489" s="9"/>
      <c r="G489" s="9"/>
      <c r="H489" s="10">
        <f t="shared" si="14"/>
        <v>0</v>
      </c>
      <c r="I489" s="10">
        <f t="shared" si="15"/>
        <v>0</v>
      </c>
      <c r="J489" s="35">
        <f>IF($I$11&gt;Table4[[#This Row],[Working Hours]],$F$6-Table4[[#This Row],[Working Hours]],0)</f>
        <v>0.33333333333333331</v>
      </c>
      <c r="K489" s="20" t="s">
        <v>241</v>
      </c>
    </row>
    <row r="490" spans="3:11" x14ac:dyDescent="0.25">
      <c r="C490" s="13" t="s">
        <v>49</v>
      </c>
      <c r="D490" s="8">
        <v>45684</v>
      </c>
      <c r="E490" s="7" t="s">
        <v>8</v>
      </c>
      <c r="F490" s="9"/>
      <c r="G490" s="9"/>
      <c r="H490" s="10">
        <f t="shared" si="14"/>
        <v>0</v>
      </c>
      <c r="I490" s="10">
        <f t="shared" si="15"/>
        <v>0</v>
      </c>
      <c r="J490" s="35">
        <f>IF($I$11&gt;Table4[[#This Row],[Working Hours]],$F$6-Table4[[#This Row],[Working Hours]],0)</f>
        <v>0.33333333333333331</v>
      </c>
      <c r="K490" s="20" t="s">
        <v>240</v>
      </c>
    </row>
    <row r="491" spans="3:11" x14ac:dyDescent="0.25">
      <c r="C491" s="13" t="s">
        <v>49</v>
      </c>
      <c r="D491" s="8">
        <v>45685</v>
      </c>
      <c r="E491" s="7" t="s">
        <v>20</v>
      </c>
      <c r="F491" s="9">
        <v>0.41180555555555554</v>
      </c>
      <c r="G491" s="9">
        <v>0.97083333333333333</v>
      </c>
      <c r="H491" s="10">
        <f t="shared" si="14"/>
        <v>7.8472222222222221E-2</v>
      </c>
      <c r="I491" s="10">
        <f t="shared" si="15"/>
        <v>0.55902777777777779</v>
      </c>
      <c r="J491" s="35">
        <f>IF($I$11&gt;Table4[[#This Row],[Working Hours]],$F$6-Table4[[#This Row],[Working Hours]],0)</f>
        <v>0</v>
      </c>
      <c r="K491" s="20" t="s">
        <v>239</v>
      </c>
    </row>
    <row r="492" spans="3:11" x14ac:dyDescent="0.25">
      <c r="C492" s="13" t="s">
        <v>49</v>
      </c>
      <c r="D492" s="8">
        <v>45686</v>
      </c>
      <c r="E492" s="7" t="s">
        <v>21</v>
      </c>
      <c r="F492" s="9">
        <v>0.48749999999999999</v>
      </c>
      <c r="G492" s="9">
        <v>0.90694444444444444</v>
      </c>
      <c r="H492" s="10">
        <f t="shared" si="14"/>
        <v>0.15416666666666667</v>
      </c>
      <c r="I492" s="10">
        <f t="shared" si="15"/>
        <v>0.41944444444444445</v>
      </c>
      <c r="J492" s="35">
        <f>IF($I$11&gt;Table4[[#This Row],[Working Hours]],$F$6-Table4[[#This Row],[Working Hours]],0)</f>
        <v>0</v>
      </c>
      <c r="K492" s="20" t="s">
        <v>239</v>
      </c>
    </row>
    <row r="493" spans="3:11" x14ac:dyDescent="0.25">
      <c r="C493" s="13" t="s">
        <v>49</v>
      </c>
      <c r="D493" s="8">
        <v>45687</v>
      </c>
      <c r="E493" s="7" t="s">
        <v>22</v>
      </c>
      <c r="F493" s="9">
        <v>0.47569444444444442</v>
      </c>
      <c r="G493" s="9">
        <v>0.8534722222222223</v>
      </c>
      <c r="H493" s="10">
        <f t="shared" si="14"/>
        <v>0.1423611111111111</v>
      </c>
      <c r="I493" s="10">
        <f t="shared" si="15"/>
        <v>0.37777777777777788</v>
      </c>
      <c r="J493" s="35">
        <v>0</v>
      </c>
      <c r="K493" s="20" t="s">
        <v>239</v>
      </c>
    </row>
    <row r="494" spans="3:11" x14ac:dyDescent="0.25">
      <c r="C494" s="13" t="s">
        <v>49</v>
      </c>
      <c r="D494" s="8">
        <v>45688</v>
      </c>
      <c r="E494" s="7" t="s">
        <v>18</v>
      </c>
      <c r="F494" s="9">
        <v>0.45416666666666666</v>
      </c>
      <c r="G494" s="9">
        <v>0.95763888888888893</v>
      </c>
      <c r="H494" s="10">
        <f t="shared" si="14"/>
        <v>0.12083333333333335</v>
      </c>
      <c r="I494" s="10">
        <f t="shared" si="15"/>
        <v>0.50347222222222232</v>
      </c>
      <c r="J494" s="35">
        <f>IF($I$11&gt;Table4[[#This Row],[Working Hours]],$F$6-Table4[[#This Row],[Working Hours]],0)</f>
        <v>0</v>
      </c>
      <c r="K494" s="20" t="s">
        <v>239</v>
      </c>
    </row>
    <row r="495" spans="3:11" x14ac:dyDescent="0.25">
      <c r="C495" s="13" t="s">
        <v>49</v>
      </c>
      <c r="D495" s="8">
        <v>45689</v>
      </c>
      <c r="E495" s="7" t="s">
        <v>19</v>
      </c>
      <c r="F495" s="9">
        <v>0.29444444444444445</v>
      </c>
      <c r="G495" s="9">
        <v>0.85416666666666663</v>
      </c>
      <c r="H495" s="10">
        <f t="shared" si="14"/>
        <v>0</v>
      </c>
      <c r="I495" s="10">
        <f t="shared" si="15"/>
        <v>0.55972222222222223</v>
      </c>
      <c r="J495" s="35">
        <f>IF($I$11&gt;Table4[[#This Row],[Working Hours]],$F$6-Table4[[#This Row],[Working Hours]],0)</f>
        <v>0</v>
      </c>
      <c r="K495" s="20" t="s">
        <v>239</v>
      </c>
    </row>
    <row r="496" spans="3:11" x14ac:dyDescent="0.25">
      <c r="C496" s="13" t="s">
        <v>49</v>
      </c>
      <c r="D496" s="8">
        <v>45690</v>
      </c>
      <c r="E496" s="7" t="s">
        <v>7</v>
      </c>
      <c r="F496" s="9"/>
      <c r="G496" s="9"/>
      <c r="H496" s="10">
        <f t="shared" si="14"/>
        <v>0</v>
      </c>
      <c r="I496" s="10">
        <f t="shared" si="15"/>
        <v>0</v>
      </c>
      <c r="J496" s="35">
        <f>IF($I$11&gt;Table4[[#This Row],[Working Hours]],$F$6-Table4[[#This Row],[Working Hours]],0)</f>
        <v>0.33333333333333331</v>
      </c>
      <c r="K496" s="20" t="s">
        <v>240</v>
      </c>
    </row>
    <row r="497" spans="3:11" x14ac:dyDescent="0.25">
      <c r="C497" s="13" t="s">
        <v>49</v>
      </c>
      <c r="D497" s="8">
        <v>45691</v>
      </c>
      <c r="E497" s="7" t="s">
        <v>8</v>
      </c>
      <c r="F497" s="9"/>
      <c r="G497" s="9"/>
      <c r="H497" s="10">
        <f t="shared" si="14"/>
        <v>0</v>
      </c>
      <c r="I497" s="10">
        <f t="shared" si="15"/>
        <v>0</v>
      </c>
      <c r="J497" s="35">
        <f>IF($I$11&gt;Table4[[#This Row],[Working Hours]],$F$6-Table4[[#This Row],[Working Hours]],0)</f>
        <v>0.33333333333333331</v>
      </c>
      <c r="K497" s="20" t="s">
        <v>240</v>
      </c>
    </row>
    <row r="498" spans="3:11" x14ac:dyDescent="0.25">
      <c r="C498" s="13" t="s">
        <v>49</v>
      </c>
      <c r="D498" s="8">
        <v>45692</v>
      </c>
      <c r="E498" s="7" t="s">
        <v>20</v>
      </c>
      <c r="F498" s="9">
        <v>0.35069444444444442</v>
      </c>
      <c r="G498" s="9">
        <v>0.91388888888888886</v>
      </c>
      <c r="H498" s="10">
        <f t="shared" si="14"/>
        <v>1.7361111111111105E-2</v>
      </c>
      <c r="I498" s="10">
        <f t="shared" si="15"/>
        <v>0.56319444444444444</v>
      </c>
      <c r="J498" s="35">
        <f>IF($I$11&gt;Table4[[#This Row],[Working Hours]],$F$6-Table4[[#This Row],[Working Hours]],0)</f>
        <v>0</v>
      </c>
      <c r="K498" s="20" t="s">
        <v>239</v>
      </c>
    </row>
    <row r="499" spans="3:11" x14ac:dyDescent="0.25">
      <c r="C499" s="13" t="s">
        <v>49</v>
      </c>
      <c r="D499" s="8">
        <v>45693</v>
      </c>
      <c r="E499" s="7" t="s">
        <v>21</v>
      </c>
      <c r="F499" s="9">
        <v>0.3354166666666667</v>
      </c>
      <c r="G499" s="9">
        <v>0.94791666666666663</v>
      </c>
      <c r="H499" s="10">
        <f t="shared" si="14"/>
        <v>2.0833333333333814E-3</v>
      </c>
      <c r="I499" s="10">
        <f t="shared" si="15"/>
        <v>0.61249999999999993</v>
      </c>
      <c r="J499" s="35">
        <f>IF($I$11&gt;Table4[[#This Row],[Working Hours]],$F$6-Table4[[#This Row],[Working Hours]],0)</f>
        <v>0</v>
      </c>
      <c r="K499" s="20" t="s">
        <v>239</v>
      </c>
    </row>
    <row r="500" spans="3:11" x14ac:dyDescent="0.25">
      <c r="C500" s="13" t="s">
        <v>49</v>
      </c>
      <c r="D500" s="8">
        <v>45694</v>
      </c>
      <c r="E500" s="7" t="s">
        <v>22</v>
      </c>
      <c r="F500" s="9">
        <v>0.42777777777777781</v>
      </c>
      <c r="G500" s="9">
        <v>0.98611111111111116</v>
      </c>
      <c r="H500" s="10">
        <f t="shared" si="14"/>
        <v>9.4444444444444497E-2</v>
      </c>
      <c r="I500" s="10">
        <f t="shared" si="15"/>
        <v>0.55833333333333335</v>
      </c>
      <c r="J500" s="35">
        <f>IF($I$11&gt;Table4[[#This Row],[Working Hours]],$F$6-Table4[[#This Row],[Working Hours]],0)</f>
        <v>0</v>
      </c>
      <c r="K500" s="20" t="s">
        <v>239</v>
      </c>
    </row>
    <row r="501" spans="3:11" x14ac:dyDescent="0.25">
      <c r="C501" s="13" t="s">
        <v>49</v>
      </c>
      <c r="D501" s="8">
        <v>45695</v>
      </c>
      <c r="E501" s="7" t="s">
        <v>18</v>
      </c>
      <c r="F501" s="9">
        <v>0.3354166666666667</v>
      </c>
      <c r="G501" s="9">
        <v>0.89027777777777783</v>
      </c>
      <c r="H501" s="10">
        <f t="shared" si="14"/>
        <v>2.0833333333333814E-3</v>
      </c>
      <c r="I501" s="10">
        <f t="shared" si="15"/>
        <v>0.55486111111111114</v>
      </c>
      <c r="J501" s="35">
        <f>IF($I$11&gt;Table4[[#This Row],[Working Hours]],$F$6-Table4[[#This Row],[Working Hours]],0)</f>
        <v>0</v>
      </c>
      <c r="K501" s="20" t="s">
        <v>239</v>
      </c>
    </row>
    <row r="502" spans="3:11" x14ac:dyDescent="0.25">
      <c r="C502" s="13" t="s">
        <v>49</v>
      </c>
      <c r="D502" s="8">
        <v>45696</v>
      </c>
      <c r="E502" s="7" t="s">
        <v>19</v>
      </c>
      <c r="F502" s="9">
        <v>0.34930555555555554</v>
      </c>
      <c r="G502" s="9">
        <v>0.93888888888888899</v>
      </c>
      <c r="H502" s="10">
        <f t="shared" si="14"/>
        <v>1.5972222222222221E-2</v>
      </c>
      <c r="I502" s="10">
        <f t="shared" si="15"/>
        <v>0.58958333333333346</v>
      </c>
      <c r="J502" s="35">
        <f>IF($I$11&gt;Table4[[#This Row],[Working Hours]],$F$6-Table4[[#This Row],[Working Hours]],0)</f>
        <v>0</v>
      </c>
      <c r="K502" s="20" t="s">
        <v>239</v>
      </c>
    </row>
    <row r="503" spans="3:11" x14ac:dyDescent="0.25">
      <c r="C503" s="13" t="s">
        <v>49</v>
      </c>
      <c r="D503" s="8">
        <v>45697</v>
      </c>
      <c r="E503" s="7" t="s">
        <v>7</v>
      </c>
      <c r="F503" s="9"/>
      <c r="G503" s="9"/>
      <c r="H503" s="10">
        <f t="shared" si="14"/>
        <v>0</v>
      </c>
      <c r="I503" s="10">
        <f t="shared" si="15"/>
        <v>0</v>
      </c>
      <c r="J503" s="35">
        <f>IF($I$11&gt;Table4[[#This Row],[Working Hours]],$F$6-Table4[[#This Row],[Working Hours]],0)</f>
        <v>0.33333333333333331</v>
      </c>
      <c r="K503" s="20" t="s">
        <v>240</v>
      </c>
    </row>
    <row r="504" spans="3:11" x14ac:dyDescent="0.25">
      <c r="C504" s="13" t="s">
        <v>49</v>
      </c>
      <c r="D504" s="8">
        <v>45698</v>
      </c>
      <c r="E504" s="7" t="s">
        <v>8</v>
      </c>
      <c r="F504" s="9"/>
      <c r="G504" s="9"/>
      <c r="H504" s="10">
        <f t="shared" si="14"/>
        <v>0</v>
      </c>
      <c r="I504" s="10">
        <f t="shared" si="15"/>
        <v>0</v>
      </c>
      <c r="J504" s="35">
        <f>IF($I$11&gt;Table4[[#This Row],[Working Hours]],$F$6-Table4[[#This Row],[Working Hours]],0)</f>
        <v>0.33333333333333331</v>
      </c>
      <c r="K504" s="20" t="s">
        <v>240</v>
      </c>
    </row>
    <row r="505" spans="3:11" x14ac:dyDescent="0.25">
      <c r="C505" s="13" t="s">
        <v>49</v>
      </c>
      <c r="D505" s="8">
        <v>45699</v>
      </c>
      <c r="E505" s="7" t="s">
        <v>20</v>
      </c>
      <c r="F505" s="9">
        <v>0.4597222222222222</v>
      </c>
      <c r="G505" s="9">
        <v>0.86319444444444438</v>
      </c>
      <c r="H505" s="10">
        <f t="shared" si="14"/>
        <v>0.12638888888888888</v>
      </c>
      <c r="I505" s="10">
        <f t="shared" si="15"/>
        <v>0.40347222222222218</v>
      </c>
      <c r="J505" s="35">
        <f>IF($I$11&gt;Table4[[#This Row],[Working Hours]],$F$6-Table4[[#This Row],[Working Hours]],0)</f>
        <v>0</v>
      </c>
      <c r="K505" s="20" t="s">
        <v>239</v>
      </c>
    </row>
    <row r="506" spans="3:11" x14ac:dyDescent="0.25">
      <c r="C506" s="13" t="s">
        <v>49</v>
      </c>
      <c r="D506" s="8">
        <v>45700</v>
      </c>
      <c r="E506" s="7" t="s">
        <v>21</v>
      </c>
      <c r="F506" s="9">
        <v>0.47569444444444442</v>
      </c>
      <c r="G506" s="9">
        <v>0.87013888888888891</v>
      </c>
      <c r="H506" s="10">
        <f t="shared" si="14"/>
        <v>0.1423611111111111</v>
      </c>
      <c r="I506" s="10">
        <f t="shared" si="15"/>
        <v>0.39444444444444449</v>
      </c>
      <c r="J506" s="35">
        <f>IF($I$11&gt;Table4[[#This Row],[Working Hours]],$F$6-Table4[[#This Row],[Working Hours]],0)</f>
        <v>0</v>
      </c>
      <c r="K506" s="20" t="s">
        <v>239</v>
      </c>
    </row>
    <row r="507" spans="3:11" x14ac:dyDescent="0.25">
      <c r="C507" s="13" t="s">
        <v>49</v>
      </c>
      <c r="D507" s="8">
        <v>45701</v>
      </c>
      <c r="E507" s="7" t="s">
        <v>22</v>
      </c>
      <c r="F507" s="9">
        <v>0.41111111111111115</v>
      </c>
      <c r="G507" s="9">
        <v>0.93958333333333333</v>
      </c>
      <c r="H507" s="10">
        <f t="shared" si="14"/>
        <v>7.7777777777777835E-2</v>
      </c>
      <c r="I507" s="10">
        <f t="shared" si="15"/>
        <v>0.52847222222222223</v>
      </c>
      <c r="J507" s="35">
        <f>IF($I$11&gt;Table4[[#This Row],[Working Hours]],$F$6-Table4[[#This Row],[Working Hours]],0)</f>
        <v>0</v>
      </c>
      <c r="K507" s="20" t="s">
        <v>239</v>
      </c>
    </row>
    <row r="508" spans="3:11" x14ac:dyDescent="0.25">
      <c r="C508" s="13" t="s">
        <v>49</v>
      </c>
      <c r="D508" s="8">
        <v>45702</v>
      </c>
      <c r="E508" s="7" t="s">
        <v>18</v>
      </c>
      <c r="F508" s="9">
        <v>0.4201388888888889</v>
      </c>
      <c r="G508" s="9">
        <v>0.86597222222222225</v>
      </c>
      <c r="H508" s="10">
        <f t="shared" si="14"/>
        <v>8.680555555555558E-2</v>
      </c>
      <c r="I508" s="10">
        <f t="shared" si="15"/>
        <v>0.44583333333333336</v>
      </c>
      <c r="J508" s="35">
        <f>IF($I$11&gt;Table4[[#This Row],[Working Hours]],$F$6-Table4[[#This Row],[Working Hours]],0)</f>
        <v>0</v>
      </c>
      <c r="K508" s="20" t="s">
        <v>239</v>
      </c>
    </row>
    <row r="509" spans="3:11" x14ac:dyDescent="0.25">
      <c r="C509" s="13" t="s">
        <v>49</v>
      </c>
      <c r="D509" s="8">
        <v>45703</v>
      </c>
      <c r="E509" s="7" t="s">
        <v>19</v>
      </c>
      <c r="F509" s="9">
        <v>0.43611111111111112</v>
      </c>
      <c r="G509" s="9">
        <v>0.94444444444444453</v>
      </c>
      <c r="H509" s="10">
        <f t="shared" si="14"/>
        <v>0.1027777777777778</v>
      </c>
      <c r="I509" s="10">
        <f t="shared" si="15"/>
        <v>0.50833333333333341</v>
      </c>
      <c r="J509" s="35">
        <f>IF($I$11&gt;Table4[[#This Row],[Working Hours]],$F$6-Table4[[#This Row],[Working Hours]],0)</f>
        <v>0</v>
      </c>
      <c r="K509" s="20" t="s">
        <v>239</v>
      </c>
    </row>
    <row r="510" spans="3:11" x14ac:dyDescent="0.25">
      <c r="C510" s="13" t="s">
        <v>49</v>
      </c>
      <c r="D510" s="8">
        <v>45704</v>
      </c>
      <c r="E510" s="7" t="s">
        <v>7</v>
      </c>
      <c r="F510" s="9"/>
      <c r="G510" s="9"/>
      <c r="H510" s="10">
        <f t="shared" si="14"/>
        <v>0</v>
      </c>
      <c r="I510" s="10">
        <f t="shared" si="15"/>
        <v>0</v>
      </c>
      <c r="J510" s="35">
        <f>IF($I$11&gt;Table4[[#This Row],[Working Hours]],$F$6-Table4[[#This Row],[Working Hours]],0)</f>
        <v>0.33333333333333331</v>
      </c>
      <c r="K510" s="20" t="s">
        <v>240</v>
      </c>
    </row>
    <row r="511" spans="3:11" x14ac:dyDescent="0.25">
      <c r="C511" s="13" t="s">
        <v>49</v>
      </c>
      <c r="D511" s="8">
        <v>45705</v>
      </c>
      <c r="E511" s="7" t="s">
        <v>8</v>
      </c>
      <c r="F511" s="9"/>
      <c r="G511" s="9"/>
      <c r="H511" s="10">
        <f t="shared" si="14"/>
        <v>0</v>
      </c>
      <c r="I511" s="10">
        <f t="shared" si="15"/>
        <v>0</v>
      </c>
      <c r="J511" s="35">
        <f>IF($I$11&gt;Table4[[#This Row],[Working Hours]],$F$6-Table4[[#This Row],[Working Hours]],0)</f>
        <v>0.33333333333333331</v>
      </c>
      <c r="K511" s="20" t="s">
        <v>240</v>
      </c>
    </row>
    <row r="512" spans="3:11" x14ac:dyDescent="0.25">
      <c r="C512" s="13" t="s">
        <v>49</v>
      </c>
      <c r="D512" s="8">
        <v>45706</v>
      </c>
      <c r="E512" s="7" t="s">
        <v>20</v>
      </c>
      <c r="F512" s="9">
        <v>0.42291666666666666</v>
      </c>
      <c r="G512" s="9">
        <v>0.99930555555555556</v>
      </c>
      <c r="H512" s="10">
        <f t="shared" si="14"/>
        <v>8.9583333333333348E-2</v>
      </c>
      <c r="I512" s="10">
        <f t="shared" si="15"/>
        <v>0.57638888888888884</v>
      </c>
      <c r="J512" s="35">
        <f>IF($I$11&gt;Table4[[#This Row],[Working Hours]],$F$6-Table4[[#This Row],[Working Hours]],0)</f>
        <v>0</v>
      </c>
      <c r="K512" s="20" t="s">
        <v>239</v>
      </c>
    </row>
    <row r="513" spans="3:11" x14ac:dyDescent="0.25">
      <c r="C513" s="13" t="s">
        <v>49</v>
      </c>
      <c r="D513" s="8">
        <v>45707</v>
      </c>
      <c r="E513" s="7" t="s">
        <v>21</v>
      </c>
      <c r="F513" s="9">
        <v>0.3444444444444445</v>
      </c>
      <c r="G513" s="9">
        <v>0.9375</v>
      </c>
      <c r="H513" s="10">
        <f t="shared" si="14"/>
        <v>1.1111111111111183E-2</v>
      </c>
      <c r="I513" s="10">
        <f t="shared" si="15"/>
        <v>0.59305555555555545</v>
      </c>
      <c r="J513" s="35">
        <f>IF($I$11&gt;Table4[[#This Row],[Working Hours]],$F$6-Table4[[#This Row],[Working Hours]],0)</f>
        <v>0</v>
      </c>
      <c r="K513" s="20" t="s">
        <v>239</v>
      </c>
    </row>
    <row r="514" spans="3:11" x14ac:dyDescent="0.25">
      <c r="C514" s="13" t="s">
        <v>49</v>
      </c>
      <c r="D514" s="8">
        <v>45708</v>
      </c>
      <c r="E514" s="7" t="s">
        <v>22</v>
      </c>
      <c r="F514" s="9">
        <v>0.34027777777777773</v>
      </c>
      <c r="G514" s="9">
        <v>0.99513888888888891</v>
      </c>
      <c r="H514" s="10">
        <f t="shared" si="14"/>
        <v>6.9444444444444198E-3</v>
      </c>
      <c r="I514" s="10">
        <f t="shared" si="15"/>
        <v>0.65486111111111112</v>
      </c>
      <c r="J514" s="35">
        <f>IF($I$11&gt;Table4[[#This Row],[Working Hours]],$F$6-Table4[[#This Row],[Working Hours]],0)</f>
        <v>0</v>
      </c>
      <c r="K514" s="20" t="s">
        <v>239</v>
      </c>
    </row>
    <row r="515" spans="3:11" x14ac:dyDescent="0.25">
      <c r="C515" s="13" t="s">
        <v>49</v>
      </c>
      <c r="D515" s="8">
        <v>45709</v>
      </c>
      <c r="E515" s="7" t="s">
        <v>18</v>
      </c>
      <c r="F515" s="9">
        <v>0.41111111111111115</v>
      </c>
      <c r="G515" s="9">
        <v>0.8979166666666667</v>
      </c>
      <c r="H515" s="10">
        <f t="shared" si="14"/>
        <v>7.7777777777777835E-2</v>
      </c>
      <c r="I515" s="10">
        <f t="shared" si="15"/>
        <v>0.48680555555555555</v>
      </c>
      <c r="J515" s="35">
        <f>IF($I$11&gt;Table4[[#This Row],[Working Hours]],$F$6-Table4[[#This Row],[Working Hours]],0)</f>
        <v>0</v>
      </c>
      <c r="K515" s="20" t="s">
        <v>239</v>
      </c>
    </row>
    <row r="516" spans="3:11" x14ac:dyDescent="0.25">
      <c r="C516" s="13" t="s">
        <v>49</v>
      </c>
      <c r="D516" s="8">
        <v>45710</v>
      </c>
      <c r="E516" s="7" t="s">
        <v>19</v>
      </c>
      <c r="F516" s="9">
        <v>0.29305555555555557</v>
      </c>
      <c r="G516" s="9">
        <v>0.9770833333333333</v>
      </c>
      <c r="H516" s="10">
        <f t="shared" si="14"/>
        <v>0</v>
      </c>
      <c r="I516" s="10">
        <f t="shared" si="15"/>
        <v>0.68402777777777768</v>
      </c>
      <c r="J516" s="35">
        <f>IF($I$11&gt;Table4[[#This Row],[Working Hours]],$F$6-Table4[[#This Row],[Working Hours]],0)</f>
        <v>0</v>
      </c>
      <c r="K516" s="20" t="s">
        <v>239</v>
      </c>
    </row>
    <row r="517" spans="3:11" x14ac:dyDescent="0.25">
      <c r="C517" s="13" t="s">
        <v>49</v>
      </c>
      <c r="D517" s="8">
        <v>45711</v>
      </c>
      <c r="E517" s="7" t="s">
        <v>7</v>
      </c>
      <c r="F517" s="9"/>
      <c r="G517" s="9"/>
      <c r="H517" s="10">
        <f t="shared" si="14"/>
        <v>0</v>
      </c>
      <c r="I517" s="10">
        <f t="shared" si="15"/>
        <v>0</v>
      </c>
      <c r="J517" s="35">
        <f>IF($I$11&gt;Table4[[#This Row],[Working Hours]],$F$6-Table4[[#This Row],[Working Hours]],0)</f>
        <v>0.33333333333333331</v>
      </c>
      <c r="K517" s="20" t="s">
        <v>240</v>
      </c>
    </row>
    <row r="518" spans="3:11" x14ac:dyDescent="0.25">
      <c r="C518" s="13" t="s">
        <v>49</v>
      </c>
      <c r="D518" s="8">
        <v>45712</v>
      </c>
      <c r="E518" s="7" t="s">
        <v>8</v>
      </c>
      <c r="F518" s="9"/>
      <c r="G518" s="9"/>
      <c r="H518" s="10">
        <f t="shared" si="14"/>
        <v>0</v>
      </c>
      <c r="I518" s="10">
        <f t="shared" si="15"/>
        <v>0</v>
      </c>
      <c r="J518" s="35">
        <f>IF($I$11&gt;Table4[[#This Row],[Working Hours]],$F$6-Table4[[#This Row],[Working Hours]],0)</f>
        <v>0.33333333333333331</v>
      </c>
      <c r="K518" s="20" t="s">
        <v>240</v>
      </c>
    </row>
    <row r="519" spans="3:11" x14ac:dyDescent="0.25">
      <c r="C519" s="13" t="s">
        <v>49</v>
      </c>
      <c r="D519" s="8">
        <v>45713</v>
      </c>
      <c r="E519" s="7" t="s">
        <v>20</v>
      </c>
      <c r="F519" s="9">
        <v>0.48958333333333331</v>
      </c>
      <c r="G519" s="9">
        <v>0.89930555555555547</v>
      </c>
      <c r="H519" s="10">
        <f t="shared" si="14"/>
        <v>0.15625</v>
      </c>
      <c r="I519" s="10">
        <f t="shared" si="15"/>
        <v>0.40972222222222215</v>
      </c>
      <c r="J519" s="35">
        <f>IF($I$11&gt;Table4[[#This Row],[Working Hours]],$F$6-Table4[[#This Row],[Working Hours]],0)</f>
        <v>0</v>
      </c>
      <c r="K519" s="20" t="s">
        <v>239</v>
      </c>
    </row>
    <row r="520" spans="3:11" x14ac:dyDescent="0.25">
      <c r="C520" s="13" t="s">
        <v>49</v>
      </c>
      <c r="D520" s="8">
        <v>45714</v>
      </c>
      <c r="E520" s="7" t="s">
        <v>21</v>
      </c>
      <c r="F520" s="9">
        <v>0.45347222222222222</v>
      </c>
      <c r="G520" s="9">
        <v>0.90972222222222221</v>
      </c>
      <c r="H520" s="10">
        <f t="shared" si="14"/>
        <v>0.12013888888888891</v>
      </c>
      <c r="I520" s="10">
        <f t="shared" si="15"/>
        <v>0.45624999999999999</v>
      </c>
      <c r="J520" s="35">
        <f>IF($I$11&gt;Table4[[#This Row],[Working Hours]],$F$6-Table4[[#This Row],[Working Hours]],0)</f>
        <v>0</v>
      </c>
      <c r="K520" s="20" t="s">
        <v>239</v>
      </c>
    </row>
    <row r="521" spans="3:11" x14ac:dyDescent="0.25">
      <c r="C521" s="13" t="s">
        <v>49</v>
      </c>
      <c r="D521" s="8">
        <v>45715</v>
      </c>
      <c r="E521" s="7" t="s">
        <v>22</v>
      </c>
      <c r="F521" s="9">
        <v>0.45833333333333331</v>
      </c>
      <c r="G521" s="9">
        <v>0.97222222222222221</v>
      </c>
      <c r="H521" s="10">
        <f t="shared" si="14"/>
        <v>0.125</v>
      </c>
      <c r="I521" s="10">
        <f t="shared" si="15"/>
        <v>0.51388888888888884</v>
      </c>
      <c r="J521" s="35">
        <f>IF($I$11&gt;Table4[[#This Row],[Working Hours]],$F$6-Table4[[#This Row],[Working Hours]],0)</f>
        <v>0</v>
      </c>
      <c r="K521" s="20" t="s">
        <v>239</v>
      </c>
    </row>
    <row r="522" spans="3:11" x14ac:dyDescent="0.25">
      <c r="C522" s="13" t="s">
        <v>49</v>
      </c>
      <c r="D522" s="8">
        <v>45716</v>
      </c>
      <c r="E522" s="7" t="s">
        <v>18</v>
      </c>
      <c r="F522" s="9">
        <v>0.48888888888888887</v>
      </c>
      <c r="G522" s="9">
        <v>0.91041666666666676</v>
      </c>
      <c r="H522" s="10">
        <f t="shared" si="14"/>
        <v>0.15555555555555556</v>
      </c>
      <c r="I522" s="10">
        <f t="shared" si="15"/>
        <v>0.42152777777777789</v>
      </c>
      <c r="J522" s="35">
        <f>IF($I$11&gt;Table4[[#This Row],[Working Hours]],$F$6-Table4[[#This Row],[Working Hours]],0)</f>
        <v>0</v>
      </c>
      <c r="K522" s="20" t="s">
        <v>239</v>
      </c>
    </row>
    <row r="523" spans="3:11" x14ac:dyDescent="0.25">
      <c r="C523" s="13" t="s">
        <v>49</v>
      </c>
      <c r="D523" s="8">
        <v>45717</v>
      </c>
      <c r="E523" s="7" t="s">
        <v>19</v>
      </c>
      <c r="F523" s="9">
        <v>0.38125000000000003</v>
      </c>
      <c r="G523" s="9">
        <v>0.90902777777777777</v>
      </c>
      <c r="H523" s="10">
        <f t="shared" si="14"/>
        <v>4.7916666666666718E-2</v>
      </c>
      <c r="I523" s="10">
        <f t="shared" si="15"/>
        <v>0.52777777777777768</v>
      </c>
      <c r="J523" s="35">
        <f>IF($I$11&gt;Table4[[#This Row],[Working Hours]],$F$6-Table4[[#This Row],[Working Hours]],0)</f>
        <v>0</v>
      </c>
      <c r="K523" s="20" t="s">
        <v>239</v>
      </c>
    </row>
    <row r="524" spans="3:11" x14ac:dyDescent="0.25">
      <c r="C524" s="13" t="s">
        <v>49</v>
      </c>
      <c r="D524" s="8">
        <v>45718</v>
      </c>
      <c r="E524" s="7" t="s">
        <v>7</v>
      </c>
      <c r="F524" s="9"/>
      <c r="G524" s="9"/>
      <c r="H524" s="10">
        <f t="shared" ref="H524:H587" si="16">IF($F524&gt;$F$6,$F524-$F$6,0)</f>
        <v>0</v>
      </c>
      <c r="I524" s="10">
        <f t="shared" ref="I524:I587" si="17">$G524-$F524</f>
        <v>0</v>
      </c>
      <c r="J524" s="35">
        <f>IF($I$11&gt;Table4[[#This Row],[Working Hours]],$F$6-Table4[[#This Row],[Working Hours]],0)</f>
        <v>0.33333333333333331</v>
      </c>
      <c r="K524" s="20" t="s">
        <v>240</v>
      </c>
    </row>
    <row r="525" spans="3:11" x14ac:dyDescent="0.25">
      <c r="C525" s="13" t="s">
        <v>49</v>
      </c>
      <c r="D525" s="8">
        <v>45719</v>
      </c>
      <c r="E525" s="7" t="s">
        <v>8</v>
      </c>
      <c r="F525" s="9"/>
      <c r="G525" s="9"/>
      <c r="H525" s="10">
        <f t="shared" si="16"/>
        <v>0</v>
      </c>
      <c r="I525" s="10">
        <f t="shared" si="17"/>
        <v>0</v>
      </c>
      <c r="J525" s="35">
        <f>IF($I$11&gt;Table4[[#This Row],[Working Hours]],$F$6-Table4[[#This Row],[Working Hours]],0)</f>
        <v>0.33333333333333331</v>
      </c>
      <c r="K525" s="20" t="s">
        <v>240</v>
      </c>
    </row>
    <row r="526" spans="3:11" x14ac:dyDescent="0.25">
      <c r="C526" s="13" t="s">
        <v>49</v>
      </c>
      <c r="D526" s="8">
        <v>45720</v>
      </c>
      <c r="E526" s="7" t="s">
        <v>20</v>
      </c>
      <c r="F526" s="9">
        <v>0.3888888888888889</v>
      </c>
      <c r="G526" s="9">
        <v>0.98888888888888893</v>
      </c>
      <c r="H526" s="10">
        <f t="shared" si="16"/>
        <v>5.555555555555558E-2</v>
      </c>
      <c r="I526" s="10">
        <f t="shared" si="17"/>
        <v>0.60000000000000009</v>
      </c>
      <c r="J526" s="35">
        <f>IF($I$11&gt;Table4[[#This Row],[Working Hours]],$F$6-Table4[[#This Row],[Working Hours]],0)</f>
        <v>0</v>
      </c>
      <c r="K526" s="20" t="s">
        <v>239</v>
      </c>
    </row>
    <row r="527" spans="3:11" x14ac:dyDescent="0.25">
      <c r="C527" s="13" t="s">
        <v>49</v>
      </c>
      <c r="D527" s="8">
        <v>45721</v>
      </c>
      <c r="E527" s="7" t="s">
        <v>21</v>
      </c>
      <c r="F527" s="9">
        <v>0.47500000000000003</v>
      </c>
      <c r="G527" s="9">
        <v>0.8881944444444444</v>
      </c>
      <c r="H527" s="10">
        <f t="shared" si="16"/>
        <v>0.14166666666666672</v>
      </c>
      <c r="I527" s="10">
        <f t="shared" si="17"/>
        <v>0.41319444444444436</v>
      </c>
      <c r="J527" s="35">
        <f>IF($I$11&gt;Table4[[#This Row],[Working Hours]],$F$6-Table4[[#This Row],[Working Hours]],0)</f>
        <v>0</v>
      </c>
      <c r="K527" s="20" t="s">
        <v>239</v>
      </c>
    </row>
    <row r="528" spans="3:11" x14ac:dyDescent="0.25">
      <c r="C528" s="13" t="s">
        <v>49</v>
      </c>
      <c r="D528" s="8">
        <v>45722</v>
      </c>
      <c r="E528" s="7" t="s">
        <v>22</v>
      </c>
      <c r="F528" s="9">
        <v>0.40902777777777777</v>
      </c>
      <c r="G528" s="9">
        <v>0.99930555555555556</v>
      </c>
      <c r="H528" s="10">
        <f t="shared" si="16"/>
        <v>7.5694444444444453E-2</v>
      </c>
      <c r="I528" s="10">
        <f t="shared" si="17"/>
        <v>0.59027777777777779</v>
      </c>
      <c r="J528" s="35">
        <f>IF($I$11&gt;Table4[[#This Row],[Working Hours]],$F$6-Table4[[#This Row],[Working Hours]],0)</f>
        <v>0</v>
      </c>
      <c r="K528" s="20" t="s">
        <v>239</v>
      </c>
    </row>
    <row r="529" spans="3:11" x14ac:dyDescent="0.25">
      <c r="C529" s="13" t="s">
        <v>49</v>
      </c>
      <c r="D529" s="8">
        <v>45723</v>
      </c>
      <c r="E529" s="7" t="s">
        <v>18</v>
      </c>
      <c r="F529" s="9"/>
      <c r="G529" s="9"/>
      <c r="H529" s="10">
        <f t="shared" si="16"/>
        <v>0</v>
      </c>
      <c r="I529" s="10">
        <f t="shared" si="17"/>
        <v>0</v>
      </c>
      <c r="J529" s="35">
        <f>IF($I$11&gt;Table4[[#This Row],[Working Hours]],$F$6-Table4[[#This Row],[Working Hours]],0)</f>
        <v>0.33333333333333331</v>
      </c>
      <c r="K529" s="20" t="s">
        <v>238</v>
      </c>
    </row>
    <row r="530" spans="3:11" x14ac:dyDescent="0.25">
      <c r="C530" s="13" t="s">
        <v>49</v>
      </c>
      <c r="D530" s="8">
        <v>45724</v>
      </c>
      <c r="E530" s="7" t="s">
        <v>19</v>
      </c>
      <c r="F530" s="9">
        <v>0.47361111111111115</v>
      </c>
      <c r="G530" s="9">
        <v>0.86319444444444438</v>
      </c>
      <c r="H530" s="10">
        <f t="shared" si="16"/>
        <v>0.14027777777777783</v>
      </c>
      <c r="I530" s="10">
        <f t="shared" si="17"/>
        <v>0.38958333333333323</v>
      </c>
      <c r="J530" s="35">
        <f>IF($I$11&gt;Table4[[#This Row],[Working Hours]],$F$6-Table4[[#This Row],[Working Hours]],0)</f>
        <v>0</v>
      </c>
      <c r="K530" s="20" t="s">
        <v>239</v>
      </c>
    </row>
    <row r="531" spans="3:11" x14ac:dyDescent="0.25">
      <c r="C531" s="13" t="s">
        <v>49</v>
      </c>
      <c r="D531" s="8">
        <v>45725</v>
      </c>
      <c r="E531" s="7" t="s">
        <v>7</v>
      </c>
      <c r="F531" s="9"/>
      <c r="G531" s="9"/>
      <c r="H531" s="10">
        <f t="shared" si="16"/>
        <v>0</v>
      </c>
      <c r="I531" s="10">
        <f t="shared" si="17"/>
        <v>0</v>
      </c>
      <c r="J531" s="35">
        <f>IF($I$11&gt;Table4[[#This Row],[Working Hours]],$F$6-Table4[[#This Row],[Working Hours]],0)</f>
        <v>0.33333333333333331</v>
      </c>
      <c r="K531" s="20" t="s">
        <v>240</v>
      </c>
    </row>
    <row r="532" spans="3:11" x14ac:dyDescent="0.25">
      <c r="C532" s="13" t="s">
        <v>49</v>
      </c>
      <c r="D532" s="8">
        <v>45726</v>
      </c>
      <c r="E532" s="7" t="s">
        <v>8</v>
      </c>
      <c r="F532" s="9"/>
      <c r="G532" s="9"/>
      <c r="H532" s="10">
        <f t="shared" si="16"/>
        <v>0</v>
      </c>
      <c r="I532" s="10">
        <f t="shared" si="17"/>
        <v>0</v>
      </c>
      <c r="J532" s="35">
        <f>IF($I$11&gt;Table4[[#This Row],[Working Hours]],$F$6-Table4[[#This Row],[Working Hours]],0)</f>
        <v>0.33333333333333331</v>
      </c>
      <c r="K532" s="20" t="s">
        <v>240</v>
      </c>
    </row>
    <row r="533" spans="3:11" x14ac:dyDescent="0.25">
      <c r="C533" s="13" t="s">
        <v>49</v>
      </c>
      <c r="D533" s="8">
        <v>45727</v>
      </c>
      <c r="E533" s="7" t="s">
        <v>20</v>
      </c>
      <c r="F533" s="9">
        <v>0.36388888888888887</v>
      </c>
      <c r="G533" s="9">
        <v>0.9555555555555556</v>
      </c>
      <c r="H533" s="10">
        <f t="shared" si="16"/>
        <v>3.0555555555555558E-2</v>
      </c>
      <c r="I533" s="10">
        <f t="shared" si="17"/>
        <v>0.59166666666666679</v>
      </c>
      <c r="J533" s="35">
        <f>IF($I$11&gt;Table4[[#This Row],[Working Hours]],$F$6-Table4[[#This Row],[Working Hours]],0)</f>
        <v>0</v>
      </c>
      <c r="K533" s="20" t="s">
        <v>239</v>
      </c>
    </row>
    <row r="534" spans="3:11" x14ac:dyDescent="0.25">
      <c r="C534" s="13" t="s">
        <v>49</v>
      </c>
      <c r="D534" s="8">
        <v>45728</v>
      </c>
      <c r="E534" s="7" t="s">
        <v>21</v>
      </c>
      <c r="F534" s="9">
        <v>0.44861111111111113</v>
      </c>
      <c r="G534" s="9">
        <v>0.97638888888888886</v>
      </c>
      <c r="H534" s="10">
        <f t="shared" si="16"/>
        <v>0.11527777777777781</v>
      </c>
      <c r="I534" s="10">
        <f t="shared" si="17"/>
        <v>0.52777777777777768</v>
      </c>
      <c r="J534" s="35">
        <f>IF($I$11&gt;Table4[[#This Row],[Working Hours]],$F$6-Table4[[#This Row],[Working Hours]],0)</f>
        <v>0</v>
      </c>
      <c r="K534" s="20" t="s">
        <v>239</v>
      </c>
    </row>
    <row r="535" spans="3:11" x14ac:dyDescent="0.25">
      <c r="C535" s="13" t="s">
        <v>49</v>
      </c>
      <c r="D535" s="8">
        <v>45729</v>
      </c>
      <c r="E535" s="7" t="s">
        <v>22</v>
      </c>
      <c r="F535" s="9">
        <v>0.4291666666666667</v>
      </c>
      <c r="G535" s="9">
        <v>0.93402777777777779</v>
      </c>
      <c r="H535" s="10">
        <f t="shared" si="16"/>
        <v>9.5833333333333381E-2</v>
      </c>
      <c r="I535" s="10">
        <f t="shared" si="17"/>
        <v>0.50486111111111109</v>
      </c>
      <c r="J535" s="35">
        <f>IF($I$11&gt;Table4[[#This Row],[Working Hours]],$F$6-Table4[[#This Row],[Working Hours]],0)</f>
        <v>0</v>
      </c>
      <c r="K535" s="20" t="s">
        <v>239</v>
      </c>
    </row>
    <row r="536" spans="3:11" x14ac:dyDescent="0.25">
      <c r="C536" s="13" t="s">
        <v>49</v>
      </c>
      <c r="D536" s="8">
        <v>45730</v>
      </c>
      <c r="E536" s="7" t="s">
        <v>18</v>
      </c>
      <c r="F536" s="9"/>
      <c r="G536" s="9"/>
      <c r="H536" s="10">
        <f t="shared" si="16"/>
        <v>0</v>
      </c>
      <c r="I536" s="10">
        <f t="shared" si="17"/>
        <v>0</v>
      </c>
      <c r="J536" s="35">
        <f>IF($I$11&gt;Table4[[#This Row],[Working Hours]],$F$6-Table4[[#This Row],[Working Hours]],0)</f>
        <v>0.33333333333333331</v>
      </c>
      <c r="K536" s="20" t="s">
        <v>70</v>
      </c>
    </row>
    <row r="537" spans="3:11" x14ac:dyDescent="0.25">
      <c r="C537" s="13" t="s">
        <v>49</v>
      </c>
      <c r="D537" s="8">
        <v>45731</v>
      </c>
      <c r="E537" s="7" t="s">
        <v>19</v>
      </c>
      <c r="F537" s="9">
        <v>0.32013888888888892</v>
      </c>
      <c r="G537" s="9">
        <v>0.85</v>
      </c>
      <c r="H537" s="10">
        <f t="shared" si="16"/>
        <v>0</v>
      </c>
      <c r="I537" s="10">
        <f t="shared" si="17"/>
        <v>0.52986111111111112</v>
      </c>
      <c r="J537" s="35">
        <f>IF($I$11&gt;Table4[[#This Row],[Working Hours]],$F$6-Table4[[#This Row],[Working Hours]],0)</f>
        <v>0</v>
      </c>
      <c r="K537" s="20" t="s">
        <v>239</v>
      </c>
    </row>
    <row r="538" spans="3:11" x14ac:dyDescent="0.25">
      <c r="C538" s="13" t="s">
        <v>49</v>
      </c>
      <c r="D538" s="8">
        <v>45732</v>
      </c>
      <c r="E538" s="7" t="s">
        <v>7</v>
      </c>
      <c r="F538" s="9"/>
      <c r="G538" s="9"/>
      <c r="H538" s="10">
        <f t="shared" si="16"/>
        <v>0</v>
      </c>
      <c r="I538" s="10">
        <f t="shared" si="17"/>
        <v>0</v>
      </c>
      <c r="J538" s="35">
        <f>IF($I$11&gt;Table4[[#This Row],[Working Hours]],$F$6-Table4[[#This Row],[Working Hours]],0)</f>
        <v>0.33333333333333331</v>
      </c>
      <c r="K538" s="20" t="s">
        <v>240</v>
      </c>
    </row>
    <row r="539" spans="3:11" x14ac:dyDescent="0.25">
      <c r="C539" s="13" t="s">
        <v>49</v>
      </c>
      <c r="D539" s="8">
        <v>45733</v>
      </c>
      <c r="E539" s="7" t="s">
        <v>8</v>
      </c>
      <c r="F539" s="9"/>
      <c r="G539" s="9"/>
      <c r="H539" s="10">
        <f t="shared" si="16"/>
        <v>0</v>
      </c>
      <c r="I539" s="10">
        <f t="shared" si="17"/>
        <v>0</v>
      </c>
      <c r="J539" s="35">
        <f>IF($I$11&gt;Table4[[#This Row],[Working Hours]],$F$6-Table4[[#This Row],[Working Hours]],0)</f>
        <v>0.33333333333333331</v>
      </c>
      <c r="K539" s="20" t="s">
        <v>240</v>
      </c>
    </row>
    <row r="540" spans="3:11" x14ac:dyDescent="0.25">
      <c r="C540" s="13" t="s">
        <v>49</v>
      </c>
      <c r="D540" s="8">
        <v>45734</v>
      </c>
      <c r="E540" s="7" t="s">
        <v>20</v>
      </c>
      <c r="F540" s="9">
        <v>0.45277777777777778</v>
      </c>
      <c r="G540" s="9">
        <v>0.92986111111111114</v>
      </c>
      <c r="H540" s="10">
        <f t="shared" si="16"/>
        <v>0.11944444444444446</v>
      </c>
      <c r="I540" s="10">
        <f t="shared" si="17"/>
        <v>0.47708333333333336</v>
      </c>
      <c r="J540" s="35">
        <f>IF($I$11&gt;Table4[[#This Row],[Working Hours]],$F$6-Table4[[#This Row],[Working Hours]],0)</f>
        <v>0</v>
      </c>
      <c r="K540" s="20" t="s">
        <v>239</v>
      </c>
    </row>
    <row r="541" spans="3:11" x14ac:dyDescent="0.25">
      <c r="C541" s="13" t="s">
        <v>49</v>
      </c>
      <c r="D541" s="8">
        <v>45735</v>
      </c>
      <c r="E541" s="7" t="s">
        <v>21</v>
      </c>
      <c r="F541" s="9">
        <v>0.46527777777777773</v>
      </c>
      <c r="G541" s="9">
        <v>0.92986111111111114</v>
      </c>
      <c r="H541" s="10">
        <f t="shared" si="16"/>
        <v>0.13194444444444442</v>
      </c>
      <c r="I541" s="10">
        <f t="shared" si="17"/>
        <v>0.4645833333333334</v>
      </c>
      <c r="J541" s="35">
        <f>IF($I$11&gt;Table4[[#This Row],[Working Hours]],$F$6-Table4[[#This Row],[Working Hours]],0)</f>
        <v>0</v>
      </c>
      <c r="K541" s="20" t="s">
        <v>239</v>
      </c>
    </row>
    <row r="542" spans="3:11" x14ac:dyDescent="0.25">
      <c r="C542" s="13" t="s">
        <v>49</v>
      </c>
      <c r="D542" s="8">
        <v>45736</v>
      </c>
      <c r="E542" s="7" t="s">
        <v>22</v>
      </c>
      <c r="F542" s="9">
        <v>0.32916666666666666</v>
      </c>
      <c r="G542" s="9">
        <v>0.87291666666666667</v>
      </c>
      <c r="H542" s="10">
        <f t="shared" si="16"/>
        <v>0</v>
      </c>
      <c r="I542" s="10">
        <f t="shared" si="17"/>
        <v>0.54374999999999996</v>
      </c>
      <c r="J542" s="35">
        <f>IF($I$11&gt;Table4[[#This Row],[Working Hours]],$F$6-Table4[[#This Row],[Working Hours]],0)</f>
        <v>0</v>
      </c>
      <c r="K542" s="20" t="s">
        <v>239</v>
      </c>
    </row>
    <row r="543" spans="3:11" x14ac:dyDescent="0.25">
      <c r="C543" s="13" t="s">
        <v>49</v>
      </c>
      <c r="D543" s="8">
        <v>45737</v>
      </c>
      <c r="E543" s="7" t="s">
        <v>18</v>
      </c>
      <c r="F543" s="9">
        <v>0.31736111111111115</v>
      </c>
      <c r="G543" s="9">
        <v>0.84722222222222221</v>
      </c>
      <c r="H543" s="10">
        <f t="shared" si="16"/>
        <v>0</v>
      </c>
      <c r="I543" s="10">
        <f t="shared" si="17"/>
        <v>0.52986111111111112</v>
      </c>
      <c r="J543" s="35">
        <f>IF($I$11&gt;Table4[[#This Row],[Working Hours]],$F$6-Table4[[#This Row],[Working Hours]],0)</f>
        <v>0</v>
      </c>
      <c r="K543" s="20" t="s">
        <v>239</v>
      </c>
    </row>
    <row r="544" spans="3:11" x14ac:dyDescent="0.25">
      <c r="C544" s="13" t="s">
        <v>49</v>
      </c>
      <c r="D544" s="8">
        <v>45738</v>
      </c>
      <c r="E544" s="7" t="s">
        <v>19</v>
      </c>
      <c r="F544" s="9">
        <v>0.34791666666666665</v>
      </c>
      <c r="G544" s="9">
        <v>0.8652777777777777</v>
      </c>
      <c r="H544" s="10">
        <f t="shared" si="16"/>
        <v>1.4583333333333337E-2</v>
      </c>
      <c r="I544" s="10">
        <f t="shared" si="17"/>
        <v>0.51736111111111105</v>
      </c>
      <c r="J544" s="35">
        <f>IF($I$11&gt;Table4[[#This Row],[Working Hours]],$F$6-Table4[[#This Row],[Working Hours]],0)</f>
        <v>0</v>
      </c>
      <c r="K544" s="20" t="s">
        <v>239</v>
      </c>
    </row>
    <row r="545" spans="3:11" x14ac:dyDescent="0.25">
      <c r="C545" s="13" t="s">
        <v>49</v>
      </c>
      <c r="D545" s="8">
        <v>45739</v>
      </c>
      <c r="E545" s="7" t="s">
        <v>7</v>
      </c>
      <c r="F545" s="9"/>
      <c r="G545" s="9"/>
      <c r="H545" s="10">
        <f t="shared" si="16"/>
        <v>0</v>
      </c>
      <c r="I545" s="10">
        <f t="shared" si="17"/>
        <v>0</v>
      </c>
      <c r="J545" s="35">
        <f>IF($I$11&gt;Table4[[#This Row],[Working Hours]],$F$6-Table4[[#This Row],[Working Hours]],0)</f>
        <v>0.33333333333333331</v>
      </c>
      <c r="K545" s="20" t="s">
        <v>240</v>
      </c>
    </row>
    <row r="546" spans="3:11" x14ac:dyDescent="0.25">
      <c r="C546" s="13" t="s">
        <v>49</v>
      </c>
      <c r="D546" s="8">
        <v>45740</v>
      </c>
      <c r="E546" s="7" t="s">
        <v>8</v>
      </c>
      <c r="F546" s="9"/>
      <c r="G546" s="9"/>
      <c r="H546" s="10">
        <f t="shared" si="16"/>
        <v>0</v>
      </c>
      <c r="I546" s="10">
        <f t="shared" si="17"/>
        <v>0</v>
      </c>
      <c r="J546" s="35">
        <f>IF($I$11&gt;Table4[[#This Row],[Working Hours]],$F$6-Table4[[#This Row],[Working Hours]],0)</f>
        <v>0.33333333333333331</v>
      </c>
      <c r="K546" s="20" t="s">
        <v>240</v>
      </c>
    </row>
    <row r="547" spans="3:11" x14ac:dyDescent="0.25">
      <c r="C547" s="13" t="s">
        <v>49</v>
      </c>
      <c r="D547" s="8">
        <v>45741</v>
      </c>
      <c r="E547" s="7" t="s">
        <v>20</v>
      </c>
      <c r="F547" s="9">
        <v>0.40069444444444446</v>
      </c>
      <c r="G547" s="9">
        <v>0.9819444444444444</v>
      </c>
      <c r="H547" s="10">
        <f t="shared" si="16"/>
        <v>6.7361111111111149E-2</v>
      </c>
      <c r="I547" s="10">
        <f t="shared" si="17"/>
        <v>0.58124999999999993</v>
      </c>
      <c r="J547" s="35">
        <f>IF($I$11&gt;Table4[[#This Row],[Working Hours]],$F$6-Table4[[#This Row],[Working Hours]],0)</f>
        <v>0</v>
      </c>
      <c r="K547" s="20" t="s">
        <v>239</v>
      </c>
    </row>
    <row r="548" spans="3:11" x14ac:dyDescent="0.25">
      <c r="C548" s="13" t="s">
        <v>49</v>
      </c>
      <c r="D548" s="8">
        <v>45742</v>
      </c>
      <c r="E548" s="7" t="s">
        <v>21</v>
      </c>
      <c r="F548" s="9">
        <v>0.45208333333333334</v>
      </c>
      <c r="G548" s="9">
        <v>0.94930555555555562</v>
      </c>
      <c r="H548" s="10">
        <f t="shared" si="16"/>
        <v>0.11875000000000002</v>
      </c>
      <c r="I548" s="10">
        <f t="shared" si="17"/>
        <v>0.49722222222222229</v>
      </c>
      <c r="J548" s="35">
        <f>IF($I$11&gt;Table4[[#This Row],[Working Hours]],$F$6-Table4[[#This Row],[Working Hours]],0)</f>
        <v>0</v>
      </c>
      <c r="K548" s="20" t="s">
        <v>239</v>
      </c>
    </row>
    <row r="549" spans="3:11" x14ac:dyDescent="0.25">
      <c r="C549" s="13" t="s">
        <v>49</v>
      </c>
      <c r="D549" s="8">
        <v>45743</v>
      </c>
      <c r="E549" s="7" t="s">
        <v>22</v>
      </c>
      <c r="F549" s="9">
        <v>0.43958333333333338</v>
      </c>
      <c r="G549" s="9">
        <v>0.99722222222222223</v>
      </c>
      <c r="H549" s="10">
        <f t="shared" si="16"/>
        <v>0.10625000000000007</v>
      </c>
      <c r="I549" s="10">
        <f t="shared" si="17"/>
        <v>0.5576388888888888</v>
      </c>
      <c r="J549" s="35">
        <f>IF($I$11&gt;Table4[[#This Row],[Working Hours]],$F$6-Table4[[#This Row],[Working Hours]],0)</f>
        <v>0</v>
      </c>
      <c r="K549" s="20" t="s">
        <v>239</v>
      </c>
    </row>
    <row r="550" spans="3:11" x14ac:dyDescent="0.25">
      <c r="C550" s="13" t="s">
        <v>49</v>
      </c>
      <c r="D550" s="8">
        <v>45744</v>
      </c>
      <c r="E550" s="7" t="s">
        <v>18</v>
      </c>
      <c r="F550" s="9">
        <v>0.4680555555555555</v>
      </c>
      <c r="G550" s="9">
        <v>0.84930555555555554</v>
      </c>
      <c r="H550" s="10">
        <f t="shared" si="16"/>
        <v>0.13472222222222219</v>
      </c>
      <c r="I550" s="10">
        <f t="shared" si="17"/>
        <v>0.38125000000000003</v>
      </c>
      <c r="J550" s="35">
        <v>0</v>
      </c>
      <c r="K550" s="20" t="s">
        <v>239</v>
      </c>
    </row>
    <row r="551" spans="3:11" x14ac:dyDescent="0.25">
      <c r="C551" s="13" t="s">
        <v>49</v>
      </c>
      <c r="D551" s="8">
        <v>45745</v>
      </c>
      <c r="E551" s="7" t="s">
        <v>19</v>
      </c>
      <c r="F551" s="9">
        <v>0.46388888888888885</v>
      </c>
      <c r="G551" s="9">
        <v>0.89513888888888893</v>
      </c>
      <c r="H551" s="10">
        <f t="shared" si="16"/>
        <v>0.13055555555555554</v>
      </c>
      <c r="I551" s="10">
        <f t="shared" si="17"/>
        <v>0.43125000000000008</v>
      </c>
      <c r="J551" s="35">
        <f>IF($I$11&gt;Table4[[#This Row],[Working Hours]],$F$6-Table4[[#This Row],[Working Hours]],0)</f>
        <v>0</v>
      </c>
      <c r="K551" s="20" t="s">
        <v>239</v>
      </c>
    </row>
    <row r="552" spans="3:11" x14ac:dyDescent="0.25">
      <c r="C552" s="13" t="s">
        <v>49</v>
      </c>
      <c r="D552" s="8">
        <v>45746</v>
      </c>
      <c r="E552" s="7" t="s">
        <v>7</v>
      </c>
      <c r="F552" s="9"/>
      <c r="G552" s="9"/>
      <c r="H552" s="10">
        <f t="shared" si="16"/>
        <v>0</v>
      </c>
      <c r="I552" s="10">
        <f t="shared" si="17"/>
        <v>0</v>
      </c>
      <c r="J552" s="35">
        <f>IF($I$11&gt;Table4[[#This Row],[Working Hours]],$F$6-Table4[[#This Row],[Working Hours]],0)</f>
        <v>0.33333333333333331</v>
      </c>
      <c r="K552" s="20" t="s">
        <v>240</v>
      </c>
    </row>
    <row r="553" spans="3:11" x14ac:dyDescent="0.25">
      <c r="C553" s="13" t="s">
        <v>49</v>
      </c>
      <c r="D553" s="8">
        <v>45747</v>
      </c>
      <c r="E553" s="7" t="s">
        <v>8</v>
      </c>
      <c r="F553" s="9"/>
      <c r="G553" s="9"/>
      <c r="H553" s="10">
        <f t="shared" si="16"/>
        <v>0</v>
      </c>
      <c r="I553" s="10">
        <f t="shared" si="17"/>
        <v>0</v>
      </c>
      <c r="J553" s="35">
        <f>IF($I$11&gt;Table4[[#This Row],[Working Hours]],$F$6-Table4[[#This Row],[Working Hours]],0)</f>
        <v>0.33333333333333331</v>
      </c>
      <c r="K553" s="20" t="s">
        <v>240</v>
      </c>
    </row>
    <row r="554" spans="3:11" x14ac:dyDescent="0.25">
      <c r="C554" s="13" t="s">
        <v>49</v>
      </c>
      <c r="D554" s="8">
        <v>45748</v>
      </c>
      <c r="E554" s="7" t="s">
        <v>20</v>
      </c>
      <c r="F554" s="9">
        <v>0.43958333333333338</v>
      </c>
      <c r="G554" s="9">
        <v>0.89166666666666661</v>
      </c>
      <c r="H554" s="10">
        <f t="shared" si="16"/>
        <v>0.10625000000000007</v>
      </c>
      <c r="I554" s="10">
        <f t="shared" si="17"/>
        <v>0.45208333333333323</v>
      </c>
      <c r="J554" s="35">
        <f>IF($I$11&gt;Table4[[#This Row],[Working Hours]],$F$6-Table4[[#This Row],[Working Hours]],0)</f>
        <v>0</v>
      </c>
      <c r="K554" s="20" t="s">
        <v>239</v>
      </c>
    </row>
    <row r="555" spans="3:11" x14ac:dyDescent="0.25">
      <c r="C555" s="13" t="s">
        <v>49</v>
      </c>
      <c r="D555" s="8">
        <v>45749</v>
      </c>
      <c r="E555" s="7" t="s">
        <v>21</v>
      </c>
      <c r="F555" s="9">
        <v>0.44375000000000003</v>
      </c>
      <c r="G555" s="9">
        <v>0.91319444444444453</v>
      </c>
      <c r="H555" s="10">
        <f t="shared" si="16"/>
        <v>0.11041666666666672</v>
      </c>
      <c r="I555" s="10">
        <f t="shared" si="17"/>
        <v>0.4694444444444445</v>
      </c>
      <c r="J555" s="35">
        <f>IF($I$11&gt;Table4[[#This Row],[Working Hours]],$F$6-Table4[[#This Row],[Working Hours]],0)</f>
        <v>0</v>
      </c>
      <c r="K555" s="20" t="s">
        <v>239</v>
      </c>
    </row>
    <row r="556" spans="3:11" x14ac:dyDescent="0.25">
      <c r="C556" s="13" t="s">
        <v>49</v>
      </c>
      <c r="D556" s="8">
        <v>45750</v>
      </c>
      <c r="E556" s="7" t="s">
        <v>22</v>
      </c>
      <c r="F556" s="9">
        <v>0.31180555555555556</v>
      </c>
      <c r="G556" s="9">
        <v>0.93194444444444446</v>
      </c>
      <c r="H556" s="10">
        <f t="shared" si="16"/>
        <v>0</v>
      </c>
      <c r="I556" s="10">
        <f t="shared" si="17"/>
        <v>0.62013888888888891</v>
      </c>
      <c r="J556" s="35">
        <f>IF($I$11&gt;Table4[[#This Row],[Working Hours]],$F$6-Table4[[#This Row],[Working Hours]],0)</f>
        <v>0</v>
      </c>
      <c r="K556" s="20" t="s">
        <v>239</v>
      </c>
    </row>
    <row r="557" spans="3:11" x14ac:dyDescent="0.25">
      <c r="C557" s="13" t="s">
        <v>49</v>
      </c>
      <c r="D557" s="8">
        <v>45751</v>
      </c>
      <c r="E557" s="7" t="s">
        <v>18</v>
      </c>
      <c r="F557" s="9">
        <v>0.29444444444444445</v>
      </c>
      <c r="G557" s="9">
        <v>0.8930555555555556</v>
      </c>
      <c r="H557" s="10">
        <f t="shared" si="16"/>
        <v>0</v>
      </c>
      <c r="I557" s="10">
        <f t="shared" si="17"/>
        <v>0.5986111111111112</v>
      </c>
      <c r="J557" s="35">
        <f>IF($I$11&gt;Table4[[#This Row],[Working Hours]],$F$6-Table4[[#This Row],[Working Hours]],0)</f>
        <v>0</v>
      </c>
      <c r="K557" s="20" t="s">
        <v>239</v>
      </c>
    </row>
    <row r="558" spans="3:11" x14ac:dyDescent="0.25">
      <c r="C558" s="13" t="s">
        <v>49</v>
      </c>
      <c r="D558" s="8">
        <v>45752</v>
      </c>
      <c r="E558" s="7" t="s">
        <v>19</v>
      </c>
      <c r="F558" s="9">
        <v>0.4368055555555555</v>
      </c>
      <c r="G558" s="9">
        <v>0.91041666666666676</v>
      </c>
      <c r="H558" s="10">
        <f t="shared" si="16"/>
        <v>0.10347222222222219</v>
      </c>
      <c r="I558" s="10">
        <f t="shared" si="17"/>
        <v>0.47361111111111126</v>
      </c>
      <c r="J558" s="35">
        <f>IF($I$11&gt;Table4[[#This Row],[Working Hours]],$F$6-Table4[[#This Row],[Working Hours]],0)</f>
        <v>0</v>
      </c>
      <c r="K558" s="20" t="s">
        <v>239</v>
      </c>
    </row>
    <row r="559" spans="3:11" x14ac:dyDescent="0.25">
      <c r="C559" s="13" t="s">
        <v>49</v>
      </c>
      <c r="D559" s="8">
        <v>45753</v>
      </c>
      <c r="E559" s="7" t="s">
        <v>7</v>
      </c>
      <c r="F559" s="9"/>
      <c r="G559" s="9"/>
      <c r="H559" s="10">
        <f t="shared" si="16"/>
        <v>0</v>
      </c>
      <c r="I559" s="10">
        <f t="shared" si="17"/>
        <v>0</v>
      </c>
      <c r="J559" s="35">
        <f>IF($I$11&gt;Table4[[#This Row],[Working Hours]],$F$6-Table4[[#This Row],[Working Hours]],0)</f>
        <v>0.33333333333333331</v>
      </c>
      <c r="K559" s="20" t="s">
        <v>240</v>
      </c>
    </row>
    <row r="560" spans="3:11" x14ac:dyDescent="0.25">
      <c r="C560" s="13" t="s">
        <v>49</v>
      </c>
      <c r="D560" s="8">
        <v>45754</v>
      </c>
      <c r="E560" s="7" t="s">
        <v>8</v>
      </c>
      <c r="F560" s="9"/>
      <c r="G560" s="9"/>
      <c r="H560" s="10">
        <f t="shared" si="16"/>
        <v>0</v>
      </c>
      <c r="I560" s="10">
        <f t="shared" si="17"/>
        <v>0</v>
      </c>
      <c r="J560" s="35">
        <f>IF($I$11&gt;Table4[[#This Row],[Working Hours]],$F$6-Table4[[#This Row],[Working Hours]],0)</f>
        <v>0.33333333333333331</v>
      </c>
      <c r="K560" s="20" t="s">
        <v>240</v>
      </c>
    </row>
    <row r="561" spans="3:11" x14ac:dyDescent="0.25">
      <c r="C561" s="13" t="s">
        <v>49</v>
      </c>
      <c r="D561" s="8">
        <v>45755</v>
      </c>
      <c r="E561" s="7" t="s">
        <v>20</v>
      </c>
      <c r="F561" s="9">
        <v>0.39652777777777781</v>
      </c>
      <c r="G561" s="9">
        <v>0.97361111111111109</v>
      </c>
      <c r="H561" s="10">
        <f t="shared" si="16"/>
        <v>6.3194444444444497E-2</v>
      </c>
      <c r="I561" s="10">
        <f t="shared" si="17"/>
        <v>0.57708333333333328</v>
      </c>
      <c r="J561" s="35">
        <f>IF($I$11&gt;Table4[[#This Row],[Working Hours]],$F$6-Table4[[#This Row],[Working Hours]],0)</f>
        <v>0</v>
      </c>
      <c r="K561" s="20" t="s">
        <v>239</v>
      </c>
    </row>
    <row r="562" spans="3:11" x14ac:dyDescent="0.25">
      <c r="C562" s="13" t="s">
        <v>49</v>
      </c>
      <c r="D562" s="8">
        <v>45756</v>
      </c>
      <c r="E562" s="7" t="s">
        <v>21</v>
      </c>
      <c r="F562" s="9">
        <v>0.4513888888888889</v>
      </c>
      <c r="G562" s="9">
        <v>0.91249999999999998</v>
      </c>
      <c r="H562" s="10">
        <f t="shared" si="16"/>
        <v>0.11805555555555558</v>
      </c>
      <c r="I562" s="10">
        <f t="shared" si="17"/>
        <v>0.46111111111111108</v>
      </c>
      <c r="J562" s="35">
        <f>IF($I$11&gt;Table4[[#This Row],[Working Hours]],$F$6-Table4[[#This Row],[Working Hours]],0)</f>
        <v>0</v>
      </c>
      <c r="K562" s="20" t="s">
        <v>239</v>
      </c>
    </row>
    <row r="563" spans="3:11" x14ac:dyDescent="0.25">
      <c r="C563" s="13" t="s">
        <v>49</v>
      </c>
      <c r="D563" s="8">
        <v>45757</v>
      </c>
      <c r="E563" s="7" t="s">
        <v>22</v>
      </c>
      <c r="F563" s="9">
        <v>0.44097222222222227</v>
      </c>
      <c r="G563" s="9">
        <v>0.84791666666666676</v>
      </c>
      <c r="H563" s="10">
        <f t="shared" si="16"/>
        <v>0.10763888888888895</v>
      </c>
      <c r="I563" s="10">
        <f t="shared" si="17"/>
        <v>0.4069444444444445</v>
      </c>
      <c r="J563" s="35">
        <f>IF($I$11&gt;Table4[[#This Row],[Working Hours]],$F$6-Table4[[#This Row],[Working Hours]],0)</f>
        <v>0</v>
      </c>
      <c r="K563" s="20" t="s">
        <v>239</v>
      </c>
    </row>
    <row r="564" spans="3:11" x14ac:dyDescent="0.25">
      <c r="C564" s="13" t="s">
        <v>49</v>
      </c>
      <c r="D564" s="8">
        <v>45758</v>
      </c>
      <c r="E564" s="7" t="s">
        <v>18</v>
      </c>
      <c r="F564" s="9">
        <v>0.31527777777777777</v>
      </c>
      <c r="G564" s="9">
        <v>0.84791666666666676</v>
      </c>
      <c r="H564" s="10">
        <f t="shared" si="16"/>
        <v>0</v>
      </c>
      <c r="I564" s="10">
        <f t="shared" si="17"/>
        <v>0.53263888888888899</v>
      </c>
      <c r="J564" s="35">
        <f>IF($I$11&gt;Table4[[#This Row],[Working Hours]],$F$6-Table4[[#This Row],[Working Hours]],0)</f>
        <v>0</v>
      </c>
      <c r="K564" s="20" t="s">
        <v>239</v>
      </c>
    </row>
    <row r="565" spans="3:11" x14ac:dyDescent="0.25">
      <c r="C565" s="13" t="s">
        <v>49</v>
      </c>
      <c r="D565" s="8">
        <v>45759</v>
      </c>
      <c r="E565" s="7" t="s">
        <v>19</v>
      </c>
      <c r="F565" s="9">
        <v>0.36805555555555558</v>
      </c>
      <c r="G565" s="9">
        <v>0.97569444444444453</v>
      </c>
      <c r="H565" s="10">
        <f t="shared" si="16"/>
        <v>3.4722222222222265E-2</v>
      </c>
      <c r="I565" s="10">
        <f t="shared" si="17"/>
        <v>0.60763888888888895</v>
      </c>
      <c r="J565" s="35">
        <f>IF($I$11&gt;Table4[[#This Row],[Working Hours]],$F$6-Table4[[#This Row],[Working Hours]],0)</f>
        <v>0</v>
      </c>
      <c r="K565" s="20" t="s">
        <v>239</v>
      </c>
    </row>
    <row r="566" spans="3:11" x14ac:dyDescent="0.25">
      <c r="C566" s="13" t="s">
        <v>49</v>
      </c>
      <c r="D566" s="8">
        <v>45760</v>
      </c>
      <c r="E566" s="7" t="s">
        <v>7</v>
      </c>
      <c r="F566" s="9"/>
      <c r="G566" s="9"/>
      <c r="H566" s="10">
        <f t="shared" si="16"/>
        <v>0</v>
      </c>
      <c r="I566" s="10">
        <f t="shared" si="17"/>
        <v>0</v>
      </c>
      <c r="J566" s="35">
        <f>IF($I$11&gt;Table4[[#This Row],[Working Hours]],$F$6-Table4[[#This Row],[Working Hours]],0)</f>
        <v>0.33333333333333331</v>
      </c>
      <c r="K566" s="20" t="s">
        <v>240</v>
      </c>
    </row>
    <row r="567" spans="3:11" x14ac:dyDescent="0.25">
      <c r="C567" s="13" t="s">
        <v>49</v>
      </c>
      <c r="D567" s="8">
        <v>45761</v>
      </c>
      <c r="E567" s="7" t="s">
        <v>8</v>
      </c>
      <c r="F567" s="9"/>
      <c r="G567" s="9"/>
      <c r="H567" s="10">
        <f t="shared" si="16"/>
        <v>0</v>
      </c>
      <c r="I567" s="10">
        <f t="shared" si="17"/>
        <v>0</v>
      </c>
      <c r="J567" s="35">
        <f>IF($I$11&gt;Table4[[#This Row],[Working Hours]],$F$6-Table4[[#This Row],[Working Hours]],0)</f>
        <v>0.33333333333333331</v>
      </c>
      <c r="K567" s="20" t="s">
        <v>240</v>
      </c>
    </row>
    <row r="568" spans="3:11" x14ac:dyDescent="0.25">
      <c r="C568" s="13" t="s">
        <v>49</v>
      </c>
      <c r="D568" s="8">
        <v>45762</v>
      </c>
      <c r="E568" s="7" t="s">
        <v>20</v>
      </c>
      <c r="F568" s="9">
        <v>0.29236111111111113</v>
      </c>
      <c r="G568" s="9">
        <v>0.87291666666666667</v>
      </c>
      <c r="H568" s="10">
        <f t="shared" si="16"/>
        <v>0</v>
      </c>
      <c r="I568" s="10">
        <f t="shared" si="17"/>
        <v>0.58055555555555549</v>
      </c>
      <c r="J568" s="35">
        <f>IF($I$11&gt;Table4[[#This Row],[Working Hours]],$F$6-Table4[[#This Row],[Working Hours]],0)</f>
        <v>0</v>
      </c>
      <c r="K568" s="20" t="s">
        <v>239</v>
      </c>
    </row>
    <row r="569" spans="3:11" x14ac:dyDescent="0.25">
      <c r="C569" s="13" t="s">
        <v>49</v>
      </c>
      <c r="D569" s="8">
        <v>45763</v>
      </c>
      <c r="E569" s="7" t="s">
        <v>21</v>
      </c>
      <c r="F569" s="9">
        <v>0.45</v>
      </c>
      <c r="G569" s="9">
        <v>0.88750000000000007</v>
      </c>
      <c r="H569" s="10">
        <f t="shared" si="16"/>
        <v>0.1166666666666667</v>
      </c>
      <c r="I569" s="10">
        <f t="shared" si="17"/>
        <v>0.43750000000000006</v>
      </c>
      <c r="J569" s="35">
        <f>IF($I$11&gt;Table4[[#This Row],[Working Hours]],$F$6-Table4[[#This Row],[Working Hours]],0)</f>
        <v>0</v>
      </c>
      <c r="K569" s="20" t="s">
        <v>239</v>
      </c>
    </row>
    <row r="570" spans="3:11" x14ac:dyDescent="0.25">
      <c r="C570" s="13" t="s">
        <v>49</v>
      </c>
      <c r="D570" s="8">
        <v>45764</v>
      </c>
      <c r="E570" s="7" t="s">
        <v>22</v>
      </c>
      <c r="F570" s="9">
        <v>0.48749999999999999</v>
      </c>
      <c r="G570" s="9">
        <v>0.91041666666666676</v>
      </c>
      <c r="H570" s="10">
        <f t="shared" si="16"/>
        <v>0.15416666666666667</v>
      </c>
      <c r="I570" s="10">
        <f t="shared" si="17"/>
        <v>0.42291666666666677</v>
      </c>
      <c r="J570" s="35">
        <f>IF($I$11&gt;Table4[[#This Row],[Working Hours]],$F$6-Table4[[#This Row],[Working Hours]],0)</f>
        <v>0</v>
      </c>
      <c r="K570" s="20" t="s">
        <v>239</v>
      </c>
    </row>
    <row r="571" spans="3:11" x14ac:dyDescent="0.25">
      <c r="C571" s="13" t="s">
        <v>49</v>
      </c>
      <c r="D571" s="8">
        <v>45765</v>
      </c>
      <c r="E571" s="7" t="s">
        <v>18</v>
      </c>
      <c r="F571" s="9">
        <v>0.4152777777777778</v>
      </c>
      <c r="G571" s="9">
        <v>0.94930555555555562</v>
      </c>
      <c r="H571" s="10">
        <f t="shared" si="16"/>
        <v>8.1944444444444486E-2</v>
      </c>
      <c r="I571" s="10">
        <f t="shared" si="17"/>
        <v>0.53402777777777777</v>
      </c>
      <c r="J571" s="35">
        <f>IF($I$11&gt;Table4[[#This Row],[Working Hours]],$F$6-Table4[[#This Row],[Working Hours]],0)</f>
        <v>0</v>
      </c>
      <c r="K571" s="20" t="s">
        <v>239</v>
      </c>
    </row>
    <row r="572" spans="3:11" x14ac:dyDescent="0.25">
      <c r="C572" s="13" t="s">
        <v>49</v>
      </c>
      <c r="D572" s="8">
        <v>45766</v>
      </c>
      <c r="E572" s="7" t="s">
        <v>19</v>
      </c>
      <c r="F572" s="9">
        <v>0.49652777777777773</v>
      </c>
      <c r="G572" s="9">
        <v>0.99583333333333324</v>
      </c>
      <c r="H572" s="10">
        <f t="shared" si="16"/>
        <v>0.16319444444444442</v>
      </c>
      <c r="I572" s="10">
        <f t="shared" si="17"/>
        <v>0.4993055555555555</v>
      </c>
      <c r="J572" s="35">
        <f>IF($I$11&gt;Table4[[#This Row],[Working Hours]],$F$6-Table4[[#This Row],[Working Hours]],0)</f>
        <v>0</v>
      </c>
      <c r="K572" s="20" t="s">
        <v>239</v>
      </c>
    </row>
    <row r="573" spans="3:11" x14ac:dyDescent="0.25">
      <c r="C573" s="13" t="s">
        <v>49</v>
      </c>
      <c r="D573" s="8">
        <v>45767</v>
      </c>
      <c r="E573" s="7" t="s">
        <v>7</v>
      </c>
      <c r="F573" s="9"/>
      <c r="G573" s="9"/>
      <c r="H573" s="10">
        <f t="shared" si="16"/>
        <v>0</v>
      </c>
      <c r="I573" s="10">
        <f t="shared" si="17"/>
        <v>0</v>
      </c>
      <c r="J573" s="35">
        <f>IF($I$11&gt;Table4[[#This Row],[Working Hours]],$F$6-Table4[[#This Row],[Working Hours]],0)</f>
        <v>0.33333333333333331</v>
      </c>
      <c r="K573" s="20" t="s">
        <v>240</v>
      </c>
    </row>
    <row r="574" spans="3:11" x14ac:dyDescent="0.25">
      <c r="C574" s="13" t="s">
        <v>49</v>
      </c>
      <c r="D574" s="8">
        <v>45768</v>
      </c>
      <c r="E574" s="7" t="s">
        <v>8</v>
      </c>
      <c r="F574" s="9"/>
      <c r="G574" s="9"/>
      <c r="H574" s="10">
        <f t="shared" si="16"/>
        <v>0</v>
      </c>
      <c r="I574" s="10">
        <f t="shared" si="17"/>
        <v>0</v>
      </c>
      <c r="J574" s="35">
        <f>IF($I$11&gt;Table4[[#This Row],[Working Hours]],$F$6-Table4[[#This Row],[Working Hours]],0)</f>
        <v>0.33333333333333331</v>
      </c>
      <c r="K574" s="20" t="s">
        <v>240</v>
      </c>
    </row>
    <row r="575" spans="3:11" x14ac:dyDescent="0.25">
      <c r="C575" s="13" t="s">
        <v>49</v>
      </c>
      <c r="D575" s="8">
        <v>45769</v>
      </c>
      <c r="E575" s="7" t="s">
        <v>20</v>
      </c>
      <c r="F575" s="9">
        <v>0.3430555555555555</v>
      </c>
      <c r="G575" s="9">
        <v>0.98055555555555562</v>
      </c>
      <c r="H575" s="10">
        <f t="shared" si="16"/>
        <v>9.7222222222221877E-3</v>
      </c>
      <c r="I575" s="10">
        <f t="shared" si="17"/>
        <v>0.63750000000000018</v>
      </c>
      <c r="J575" s="35">
        <f>IF($I$11&gt;Table4[[#This Row],[Working Hours]],$F$6-Table4[[#This Row],[Working Hours]],0)</f>
        <v>0</v>
      </c>
      <c r="K575" s="20" t="s">
        <v>239</v>
      </c>
    </row>
    <row r="576" spans="3:11" x14ac:dyDescent="0.25">
      <c r="C576" s="13" t="s">
        <v>49</v>
      </c>
      <c r="D576" s="8">
        <v>45770</v>
      </c>
      <c r="E576" s="7" t="s">
        <v>21</v>
      </c>
      <c r="F576" s="9">
        <v>0.3430555555555555</v>
      </c>
      <c r="G576" s="9">
        <v>0.97083333333333333</v>
      </c>
      <c r="H576" s="10">
        <f t="shared" si="16"/>
        <v>9.7222222222221877E-3</v>
      </c>
      <c r="I576" s="10">
        <f t="shared" si="17"/>
        <v>0.62777777777777777</v>
      </c>
      <c r="J576" s="35">
        <f>IF($I$11&gt;Table4[[#This Row],[Working Hours]],$F$6-Table4[[#This Row],[Working Hours]],0)</f>
        <v>0</v>
      </c>
      <c r="K576" s="20" t="s">
        <v>239</v>
      </c>
    </row>
    <row r="577" spans="3:11" x14ac:dyDescent="0.25">
      <c r="C577" s="13" t="s">
        <v>49</v>
      </c>
      <c r="D577" s="8">
        <v>45771</v>
      </c>
      <c r="E577" s="7" t="s">
        <v>22</v>
      </c>
      <c r="F577" s="9">
        <v>0.36388888888888887</v>
      </c>
      <c r="G577" s="9">
        <v>0.92847222222222225</v>
      </c>
      <c r="H577" s="10">
        <f t="shared" si="16"/>
        <v>3.0555555555555558E-2</v>
      </c>
      <c r="I577" s="10">
        <f t="shared" si="17"/>
        <v>0.56458333333333344</v>
      </c>
      <c r="J577" s="35">
        <f>IF($I$11&gt;Table4[[#This Row],[Working Hours]],$F$6-Table4[[#This Row],[Working Hours]],0)</f>
        <v>0</v>
      </c>
      <c r="K577" s="20" t="s">
        <v>239</v>
      </c>
    </row>
    <row r="578" spans="3:11" x14ac:dyDescent="0.25">
      <c r="C578" s="13" t="s">
        <v>49</v>
      </c>
      <c r="D578" s="8">
        <v>45772</v>
      </c>
      <c r="E578" s="7" t="s">
        <v>18</v>
      </c>
      <c r="F578" s="9"/>
      <c r="G578" s="9"/>
      <c r="H578" s="10">
        <f t="shared" si="16"/>
        <v>0</v>
      </c>
      <c r="I578" s="10">
        <f t="shared" si="17"/>
        <v>0</v>
      </c>
      <c r="J578" s="35">
        <f>IF($I$11&gt;Table4[[#This Row],[Working Hours]],$F$6-Table4[[#This Row],[Working Hours]],0)</f>
        <v>0.33333333333333331</v>
      </c>
      <c r="K578" s="20" t="s">
        <v>238</v>
      </c>
    </row>
    <row r="579" spans="3:11" x14ac:dyDescent="0.25">
      <c r="C579" s="13" t="s">
        <v>49</v>
      </c>
      <c r="D579" s="8">
        <v>45773</v>
      </c>
      <c r="E579" s="7" t="s">
        <v>19</v>
      </c>
      <c r="F579" s="9">
        <v>0.40833333333333338</v>
      </c>
      <c r="G579" s="9">
        <v>0.99375000000000002</v>
      </c>
      <c r="H579" s="10">
        <f t="shared" si="16"/>
        <v>7.5000000000000067E-2</v>
      </c>
      <c r="I579" s="10">
        <f t="shared" si="17"/>
        <v>0.5854166666666667</v>
      </c>
      <c r="J579" s="35">
        <f>IF($I$11&gt;Table4[[#This Row],[Working Hours]],$F$6-Table4[[#This Row],[Working Hours]],0)</f>
        <v>0</v>
      </c>
      <c r="K579" s="20" t="s">
        <v>239</v>
      </c>
    </row>
    <row r="580" spans="3:11" x14ac:dyDescent="0.25">
      <c r="C580" s="13" t="s">
        <v>49</v>
      </c>
      <c r="D580" s="8">
        <v>45774</v>
      </c>
      <c r="E580" s="7" t="s">
        <v>7</v>
      </c>
      <c r="F580" s="9"/>
      <c r="G580" s="9"/>
      <c r="H580" s="10">
        <f t="shared" si="16"/>
        <v>0</v>
      </c>
      <c r="I580" s="10">
        <f t="shared" si="17"/>
        <v>0</v>
      </c>
      <c r="J580" s="35">
        <f>IF($I$11&gt;Table4[[#This Row],[Working Hours]],$F$6-Table4[[#This Row],[Working Hours]],0)</f>
        <v>0.33333333333333331</v>
      </c>
      <c r="K580" s="20" t="s">
        <v>240</v>
      </c>
    </row>
    <row r="581" spans="3:11" x14ac:dyDescent="0.25">
      <c r="C581" s="13" t="s">
        <v>49</v>
      </c>
      <c r="D581" s="8">
        <v>45775</v>
      </c>
      <c r="E581" s="7" t="s">
        <v>8</v>
      </c>
      <c r="F581" s="9"/>
      <c r="G581" s="9"/>
      <c r="H581" s="10">
        <f t="shared" si="16"/>
        <v>0</v>
      </c>
      <c r="I581" s="10">
        <f t="shared" si="17"/>
        <v>0</v>
      </c>
      <c r="J581" s="35">
        <f>IF($I$11&gt;Table4[[#This Row],[Working Hours]],$F$6-Table4[[#This Row],[Working Hours]],0)</f>
        <v>0.33333333333333331</v>
      </c>
      <c r="K581" s="20" t="s">
        <v>240</v>
      </c>
    </row>
    <row r="582" spans="3:11" x14ac:dyDescent="0.25">
      <c r="C582" s="13" t="s">
        <v>49</v>
      </c>
      <c r="D582" s="8">
        <v>45776</v>
      </c>
      <c r="E582" s="7" t="s">
        <v>20</v>
      </c>
      <c r="F582" s="9">
        <v>0.40347222222222223</v>
      </c>
      <c r="G582" s="9">
        <v>0.86388888888888893</v>
      </c>
      <c r="H582" s="10">
        <f t="shared" si="16"/>
        <v>7.0138888888888917E-2</v>
      </c>
      <c r="I582" s="10">
        <f t="shared" si="17"/>
        <v>0.4604166666666667</v>
      </c>
      <c r="J582" s="35">
        <f>IF($I$11&gt;Table4[[#This Row],[Working Hours]],$F$6-Table4[[#This Row],[Working Hours]],0)</f>
        <v>0</v>
      </c>
      <c r="K582" s="20" t="s">
        <v>239</v>
      </c>
    </row>
    <row r="583" spans="3:11" x14ac:dyDescent="0.25">
      <c r="C583" s="13" t="s">
        <v>49</v>
      </c>
      <c r="D583" s="8">
        <v>45777</v>
      </c>
      <c r="E583" s="7" t="s">
        <v>21</v>
      </c>
      <c r="F583" s="9">
        <v>0.46875</v>
      </c>
      <c r="G583" s="9">
        <v>0.89861111111111114</v>
      </c>
      <c r="H583" s="10">
        <f t="shared" si="16"/>
        <v>0.13541666666666669</v>
      </c>
      <c r="I583" s="10">
        <f t="shared" si="17"/>
        <v>0.42986111111111114</v>
      </c>
      <c r="J583" s="35">
        <f>IF($I$11&gt;Table4[[#This Row],[Working Hours]],$F$6-Table4[[#This Row],[Working Hours]],0)</f>
        <v>0</v>
      </c>
      <c r="K583" s="20" t="s">
        <v>239</v>
      </c>
    </row>
    <row r="584" spans="3:11" x14ac:dyDescent="0.25">
      <c r="C584" s="13" t="s">
        <v>49</v>
      </c>
      <c r="D584" s="8">
        <v>45778</v>
      </c>
      <c r="E584" s="7" t="s">
        <v>22</v>
      </c>
      <c r="F584" s="9"/>
      <c r="G584" s="9"/>
      <c r="H584" s="10">
        <f t="shared" si="16"/>
        <v>0</v>
      </c>
      <c r="I584" s="10">
        <f t="shared" si="17"/>
        <v>0</v>
      </c>
      <c r="J584" s="35">
        <f>IF($I$11&gt;Table4[[#This Row],[Working Hours]],$F$6-Table4[[#This Row],[Working Hours]],0)</f>
        <v>0.33333333333333331</v>
      </c>
      <c r="K584" s="20" t="s">
        <v>71</v>
      </c>
    </row>
    <row r="585" spans="3:11" x14ac:dyDescent="0.25">
      <c r="C585" s="13" t="s">
        <v>49</v>
      </c>
      <c r="D585" s="8">
        <v>45779</v>
      </c>
      <c r="E585" s="7" t="s">
        <v>18</v>
      </c>
      <c r="F585" s="9">
        <v>0.47916666666666669</v>
      </c>
      <c r="G585" s="9">
        <v>0.89374999999999993</v>
      </c>
      <c r="H585" s="10">
        <f t="shared" si="16"/>
        <v>0.14583333333333337</v>
      </c>
      <c r="I585" s="10">
        <f t="shared" si="17"/>
        <v>0.41458333333333325</v>
      </c>
      <c r="J585" s="35">
        <f>IF($I$11&gt;Table4[[#This Row],[Working Hours]],$F$6-Table4[[#This Row],[Working Hours]],0)</f>
        <v>0</v>
      </c>
      <c r="K585" s="20" t="s">
        <v>239</v>
      </c>
    </row>
    <row r="586" spans="3:11" x14ac:dyDescent="0.25">
      <c r="C586" s="13" t="s">
        <v>49</v>
      </c>
      <c r="D586" s="8">
        <v>45780</v>
      </c>
      <c r="E586" s="7" t="s">
        <v>19</v>
      </c>
      <c r="F586" s="9">
        <v>0.4368055555555555</v>
      </c>
      <c r="G586" s="9">
        <v>0.85625000000000007</v>
      </c>
      <c r="H586" s="10">
        <f t="shared" si="16"/>
        <v>0.10347222222222219</v>
      </c>
      <c r="I586" s="10">
        <f t="shared" si="17"/>
        <v>0.41944444444444456</v>
      </c>
      <c r="J586" s="35">
        <f>IF($I$11&gt;Table4[[#This Row],[Working Hours]],$F$6-Table4[[#This Row],[Working Hours]],0)</f>
        <v>0</v>
      </c>
      <c r="K586" s="20" t="s">
        <v>239</v>
      </c>
    </row>
    <row r="587" spans="3:11" x14ac:dyDescent="0.25">
      <c r="C587" s="13" t="s">
        <v>49</v>
      </c>
      <c r="D587" s="8">
        <v>45781</v>
      </c>
      <c r="E587" s="7" t="s">
        <v>7</v>
      </c>
      <c r="F587" s="9"/>
      <c r="G587" s="9"/>
      <c r="H587" s="10">
        <f t="shared" si="16"/>
        <v>0</v>
      </c>
      <c r="I587" s="10">
        <f t="shared" si="17"/>
        <v>0</v>
      </c>
      <c r="J587" s="35">
        <f>IF($I$11&gt;Table4[[#This Row],[Working Hours]],$F$6-Table4[[#This Row],[Working Hours]],0)</f>
        <v>0.33333333333333331</v>
      </c>
      <c r="K587" s="20" t="s">
        <v>240</v>
      </c>
    </row>
    <row r="588" spans="3:11" x14ac:dyDescent="0.25">
      <c r="C588" s="13" t="s">
        <v>49</v>
      </c>
      <c r="D588" s="8">
        <v>45782</v>
      </c>
      <c r="E588" s="7" t="s">
        <v>8</v>
      </c>
      <c r="F588" s="9"/>
      <c r="G588" s="9"/>
      <c r="H588" s="10">
        <f t="shared" ref="H588:H651" si="18">IF($F588&gt;$F$6,$F588-$F$6,0)</f>
        <v>0</v>
      </c>
      <c r="I588" s="10">
        <f t="shared" ref="I588:I651" si="19">$G588-$F588</f>
        <v>0</v>
      </c>
      <c r="J588" s="35">
        <f>IF($I$11&gt;Table4[[#This Row],[Working Hours]],$F$6-Table4[[#This Row],[Working Hours]],0)</f>
        <v>0.33333333333333331</v>
      </c>
      <c r="K588" s="20" t="s">
        <v>240</v>
      </c>
    </row>
    <row r="589" spans="3:11" x14ac:dyDescent="0.25">
      <c r="C589" s="13" t="s">
        <v>49</v>
      </c>
      <c r="D589" s="8">
        <v>45783</v>
      </c>
      <c r="E589" s="7" t="s">
        <v>20</v>
      </c>
      <c r="F589" s="9">
        <v>0.42430555555555555</v>
      </c>
      <c r="G589" s="9">
        <v>0.97777777777777775</v>
      </c>
      <c r="H589" s="10">
        <f t="shared" si="18"/>
        <v>9.0972222222222232E-2</v>
      </c>
      <c r="I589" s="10">
        <f t="shared" si="19"/>
        <v>0.55347222222222214</v>
      </c>
      <c r="J589" s="35">
        <f>IF($I$11&gt;Table4[[#This Row],[Working Hours]],$F$6-Table4[[#This Row],[Working Hours]],0)</f>
        <v>0</v>
      </c>
      <c r="K589" s="20" t="s">
        <v>239</v>
      </c>
    </row>
    <row r="590" spans="3:11" x14ac:dyDescent="0.25">
      <c r="C590" s="13" t="s">
        <v>49</v>
      </c>
      <c r="D590" s="8">
        <v>45784</v>
      </c>
      <c r="E590" s="7" t="s">
        <v>21</v>
      </c>
      <c r="F590" s="9">
        <v>0.37916666666666665</v>
      </c>
      <c r="G590" s="9">
        <v>0.97638888888888886</v>
      </c>
      <c r="H590" s="10">
        <f t="shared" si="18"/>
        <v>4.5833333333333337E-2</v>
      </c>
      <c r="I590" s="10">
        <f t="shared" si="19"/>
        <v>0.59722222222222221</v>
      </c>
      <c r="J590" s="35">
        <f>IF($I$11&gt;Table4[[#This Row],[Working Hours]],$F$6-Table4[[#This Row],[Working Hours]],0)</f>
        <v>0</v>
      </c>
      <c r="K590" s="20" t="s">
        <v>239</v>
      </c>
    </row>
    <row r="591" spans="3:11" x14ac:dyDescent="0.25">
      <c r="C591" s="13" t="s">
        <v>49</v>
      </c>
      <c r="D591" s="8">
        <v>45785</v>
      </c>
      <c r="E591" s="7" t="s">
        <v>22</v>
      </c>
      <c r="F591" s="9">
        <v>0.4770833333333333</v>
      </c>
      <c r="G591" s="9">
        <v>0.97986111111111107</v>
      </c>
      <c r="H591" s="10">
        <f t="shared" si="18"/>
        <v>0.14374999999999999</v>
      </c>
      <c r="I591" s="10">
        <f t="shared" si="19"/>
        <v>0.50277777777777777</v>
      </c>
      <c r="J591" s="35">
        <f>IF($I$11&gt;Table4[[#This Row],[Working Hours]],$F$6-Table4[[#This Row],[Working Hours]],0)</f>
        <v>0</v>
      </c>
      <c r="K591" s="20" t="s">
        <v>239</v>
      </c>
    </row>
    <row r="592" spans="3:11" x14ac:dyDescent="0.25">
      <c r="C592" s="13" t="s">
        <v>49</v>
      </c>
      <c r="D592" s="8">
        <v>45786</v>
      </c>
      <c r="E592" s="7" t="s">
        <v>18</v>
      </c>
      <c r="F592" s="9">
        <v>0.3972222222222222</v>
      </c>
      <c r="G592" s="9">
        <v>0.89722222222222225</v>
      </c>
      <c r="H592" s="10">
        <f t="shared" si="18"/>
        <v>6.3888888888888884E-2</v>
      </c>
      <c r="I592" s="10">
        <f t="shared" si="19"/>
        <v>0.5</v>
      </c>
      <c r="J592" s="35">
        <f>IF($I$11&gt;Table4[[#This Row],[Working Hours]],$F$6-Table4[[#This Row],[Working Hours]],0)</f>
        <v>0</v>
      </c>
      <c r="K592" s="20" t="s">
        <v>239</v>
      </c>
    </row>
    <row r="593" spans="3:11" x14ac:dyDescent="0.25">
      <c r="C593" s="13" t="s">
        <v>49</v>
      </c>
      <c r="D593" s="8">
        <v>45787</v>
      </c>
      <c r="E593" s="7" t="s">
        <v>19</v>
      </c>
      <c r="F593" s="9">
        <v>0.32361111111111113</v>
      </c>
      <c r="G593" s="9">
        <v>0.84652777777777777</v>
      </c>
      <c r="H593" s="10">
        <f t="shared" si="18"/>
        <v>0</v>
      </c>
      <c r="I593" s="10">
        <f t="shared" si="19"/>
        <v>0.5229166666666667</v>
      </c>
      <c r="J593" s="35">
        <f>IF($I$11&gt;Table4[[#This Row],[Working Hours]],$F$6-Table4[[#This Row],[Working Hours]],0)</f>
        <v>0</v>
      </c>
      <c r="K593" s="20" t="s">
        <v>239</v>
      </c>
    </row>
    <row r="594" spans="3:11" x14ac:dyDescent="0.25">
      <c r="C594" s="13" t="s">
        <v>49</v>
      </c>
      <c r="D594" s="8">
        <v>45788</v>
      </c>
      <c r="E594" s="7" t="s">
        <v>7</v>
      </c>
      <c r="F594" s="9"/>
      <c r="G594" s="9"/>
      <c r="H594" s="10">
        <f t="shared" si="18"/>
        <v>0</v>
      </c>
      <c r="I594" s="10">
        <f t="shared" si="19"/>
        <v>0</v>
      </c>
      <c r="J594" s="35">
        <f>IF($I$11&gt;Table4[[#This Row],[Working Hours]],$F$6-Table4[[#This Row],[Working Hours]],0)</f>
        <v>0.33333333333333331</v>
      </c>
      <c r="K594" s="20" t="s">
        <v>240</v>
      </c>
    </row>
    <row r="595" spans="3:11" x14ac:dyDescent="0.25">
      <c r="C595" s="13" t="s">
        <v>49</v>
      </c>
      <c r="D595" s="8">
        <v>45789</v>
      </c>
      <c r="E595" s="7" t="s">
        <v>8</v>
      </c>
      <c r="F595" s="9"/>
      <c r="G595" s="9"/>
      <c r="H595" s="10">
        <f t="shared" si="18"/>
        <v>0</v>
      </c>
      <c r="I595" s="10">
        <f t="shared" si="19"/>
        <v>0</v>
      </c>
      <c r="J595" s="35">
        <f>IF($I$11&gt;Table4[[#This Row],[Working Hours]],$F$6-Table4[[#This Row],[Working Hours]],0)</f>
        <v>0.33333333333333331</v>
      </c>
      <c r="K595" s="20" t="s">
        <v>240</v>
      </c>
    </row>
    <row r="596" spans="3:11" x14ac:dyDescent="0.25">
      <c r="C596" s="13" t="s">
        <v>49</v>
      </c>
      <c r="D596" s="8">
        <v>45790</v>
      </c>
      <c r="E596" s="7" t="s">
        <v>20</v>
      </c>
      <c r="F596" s="9">
        <v>0.40486111111111112</v>
      </c>
      <c r="G596" s="9">
        <v>0.87083333333333324</v>
      </c>
      <c r="H596" s="10">
        <f t="shared" si="18"/>
        <v>7.1527777777777801E-2</v>
      </c>
      <c r="I596" s="10">
        <f t="shared" si="19"/>
        <v>0.46597222222222212</v>
      </c>
      <c r="J596" s="35">
        <f>IF($I$11&gt;Table4[[#This Row],[Working Hours]],$F$6-Table4[[#This Row],[Working Hours]],0)</f>
        <v>0</v>
      </c>
      <c r="K596" s="20" t="s">
        <v>239</v>
      </c>
    </row>
    <row r="597" spans="3:11" x14ac:dyDescent="0.25">
      <c r="C597" s="13" t="s">
        <v>49</v>
      </c>
      <c r="D597" s="8">
        <v>45791</v>
      </c>
      <c r="E597" s="7" t="s">
        <v>21</v>
      </c>
      <c r="F597" s="9">
        <v>0.4284722222222222</v>
      </c>
      <c r="G597" s="9">
        <v>0.85069444444444453</v>
      </c>
      <c r="H597" s="10">
        <f t="shared" si="18"/>
        <v>9.5138888888888884E-2</v>
      </c>
      <c r="I597" s="10">
        <f t="shared" si="19"/>
        <v>0.42222222222222233</v>
      </c>
      <c r="J597" s="35">
        <f>IF($I$11&gt;Table4[[#This Row],[Working Hours]],$F$6-Table4[[#This Row],[Working Hours]],0)</f>
        <v>0</v>
      </c>
      <c r="K597" s="20" t="s">
        <v>239</v>
      </c>
    </row>
    <row r="598" spans="3:11" x14ac:dyDescent="0.25">
      <c r="C598" s="13" t="s">
        <v>49</v>
      </c>
      <c r="D598" s="8">
        <v>45792</v>
      </c>
      <c r="E598" s="7" t="s">
        <v>22</v>
      </c>
      <c r="F598" s="9">
        <v>0.44166666666666665</v>
      </c>
      <c r="G598" s="9">
        <v>0.86944444444444446</v>
      </c>
      <c r="H598" s="10">
        <f t="shared" si="18"/>
        <v>0.10833333333333334</v>
      </c>
      <c r="I598" s="10">
        <f t="shared" si="19"/>
        <v>0.42777777777777781</v>
      </c>
      <c r="J598" s="35">
        <f>IF($I$11&gt;Table4[[#This Row],[Working Hours]],$F$6-Table4[[#This Row],[Working Hours]],0)</f>
        <v>0</v>
      </c>
      <c r="K598" s="20" t="s">
        <v>239</v>
      </c>
    </row>
    <row r="599" spans="3:11" x14ac:dyDescent="0.25">
      <c r="C599" s="13" t="s">
        <v>49</v>
      </c>
      <c r="D599" s="8">
        <v>45793</v>
      </c>
      <c r="E599" s="7" t="s">
        <v>18</v>
      </c>
      <c r="F599" s="9">
        <v>0.47430555555555554</v>
      </c>
      <c r="G599" s="9">
        <v>0.97916666666666663</v>
      </c>
      <c r="H599" s="10">
        <f t="shared" si="18"/>
        <v>0.14097222222222222</v>
      </c>
      <c r="I599" s="10">
        <f t="shared" si="19"/>
        <v>0.50486111111111109</v>
      </c>
      <c r="J599" s="35">
        <f>IF($I$11&gt;Table4[[#This Row],[Working Hours]],$F$6-Table4[[#This Row],[Working Hours]],0)</f>
        <v>0</v>
      </c>
      <c r="K599" s="20" t="s">
        <v>239</v>
      </c>
    </row>
    <row r="600" spans="3:11" x14ac:dyDescent="0.25">
      <c r="C600" s="13" t="s">
        <v>49</v>
      </c>
      <c r="D600" s="8">
        <v>45794</v>
      </c>
      <c r="E600" s="7" t="s">
        <v>19</v>
      </c>
      <c r="F600" s="9">
        <v>0.47847222222222219</v>
      </c>
      <c r="G600" s="9">
        <v>0.93472222222222223</v>
      </c>
      <c r="H600" s="10">
        <f t="shared" si="18"/>
        <v>0.14513888888888887</v>
      </c>
      <c r="I600" s="10">
        <f t="shared" si="19"/>
        <v>0.45625000000000004</v>
      </c>
      <c r="J600" s="35">
        <f>IF($I$11&gt;Table4[[#This Row],[Working Hours]],$F$6-Table4[[#This Row],[Working Hours]],0)</f>
        <v>0</v>
      </c>
      <c r="K600" s="20" t="s">
        <v>239</v>
      </c>
    </row>
    <row r="601" spans="3:11" x14ac:dyDescent="0.25">
      <c r="C601" s="13" t="s">
        <v>49</v>
      </c>
      <c r="D601" s="8">
        <v>45795</v>
      </c>
      <c r="E601" s="7" t="s">
        <v>7</v>
      </c>
      <c r="F601" s="9"/>
      <c r="G601" s="9"/>
      <c r="H601" s="10">
        <f t="shared" si="18"/>
        <v>0</v>
      </c>
      <c r="I601" s="10">
        <f t="shared" si="19"/>
        <v>0</v>
      </c>
      <c r="J601" s="35">
        <f>IF($I$11&gt;Table4[[#This Row],[Working Hours]],$F$6-Table4[[#This Row],[Working Hours]],0)</f>
        <v>0.33333333333333331</v>
      </c>
      <c r="K601" s="20" t="s">
        <v>240</v>
      </c>
    </row>
    <row r="602" spans="3:11" x14ac:dyDescent="0.25">
      <c r="C602" s="13" t="s">
        <v>49</v>
      </c>
      <c r="D602" s="8">
        <v>45796</v>
      </c>
      <c r="E602" s="7" t="s">
        <v>8</v>
      </c>
      <c r="F602" s="9"/>
      <c r="G602" s="9"/>
      <c r="H602" s="10">
        <f t="shared" si="18"/>
        <v>0</v>
      </c>
      <c r="I602" s="10">
        <f t="shared" si="19"/>
        <v>0</v>
      </c>
      <c r="J602" s="35">
        <f>IF($I$11&gt;Table4[[#This Row],[Working Hours]],$F$6-Table4[[#This Row],[Working Hours]],0)</f>
        <v>0.33333333333333331</v>
      </c>
      <c r="K602" s="20" t="s">
        <v>240</v>
      </c>
    </row>
    <row r="603" spans="3:11" x14ac:dyDescent="0.25">
      <c r="C603" s="13" t="s">
        <v>49</v>
      </c>
      <c r="D603" s="8">
        <v>45797</v>
      </c>
      <c r="E603" s="7" t="s">
        <v>20</v>
      </c>
      <c r="F603" s="9">
        <v>0.34930555555555554</v>
      </c>
      <c r="G603" s="9">
        <v>0.84375</v>
      </c>
      <c r="H603" s="10">
        <f t="shared" si="18"/>
        <v>1.5972222222222221E-2</v>
      </c>
      <c r="I603" s="10">
        <f t="shared" si="19"/>
        <v>0.49444444444444446</v>
      </c>
      <c r="J603" s="35">
        <f>IF($I$11&gt;Table4[[#This Row],[Working Hours]],$F$6-Table4[[#This Row],[Working Hours]],0)</f>
        <v>0</v>
      </c>
      <c r="K603" s="20" t="s">
        <v>239</v>
      </c>
    </row>
    <row r="604" spans="3:11" x14ac:dyDescent="0.25">
      <c r="C604" s="13" t="s">
        <v>49</v>
      </c>
      <c r="D604" s="8">
        <v>45798</v>
      </c>
      <c r="E604" s="7" t="s">
        <v>21</v>
      </c>
      <c r="F604" s="9">
        <v>0.30277777777777776</v>
      </c>
      <c r="G604" s="9">
        <v>0.97222222222222221</v>
      </c>
      <c r="H604" s="10">
        <f t="shared" si="18"/>
        <v>0</v>
      </c>
      <c r="I604" s="10">
        <f t="shared" si="19"/>
        <v>0.66944444444444451</v>
      </c>
      <c r="J604" s="35">
        <f>IF($I$11&gt;Table4[[#This Row],[Working Hours]],$F$6-Table4[[#This Row],[Working Hours]],0)</f>
        <v>0</v>
      </c>
      <c r="K604" s="20" t="s">
        <v>239</v>
      </c>
    </row>
    <row r="605" spans="3:11" x14ac:dyDescent="0.25">
      <c r="C605" s="13" t="s">
        <v>49</v>
      </c>
      <c r="D605" s="8">
        <v>45799</v>
      </c>
      <c r="E605" s="7" t="s">
        <v>22</v>
      </c>
      <c r="F605" s="9">
        <v>0.3659722222222222</v>
      </c>
      <c r="G605" s="9">
        <v>0.9145833333333333</v>
      </c>
      <c r="H605" s="10">
        <f t="shared" si="18"/>
        <v>3.2638888888888884E-2</v>
      </c>
      <c r="I605" s="10">
        <f t="shared" si="19"/>
        <v>0.54861111111111116</v>
      </c>
      <c r="J605" s="35">
        <f>IF($I$11&gt;Table4[[#This Row],[Working Hours]],$F$6-Table4[[#This Row],[Working Hours]],0)</f>
        <v>0</v>
      </c>
      <c r="K605" s="20" t="s">
        <v>239</v>
      </c>
    </row>
    <row r="606" spans="3:11" x14ac:dyDescent="0.25">
      <c r="C606" s="13" t="s">
        <v>49</v>
      </c>
      <c r="D606" s="8">
        <v>45800</v>
      </c>
      <c r="E606" s="7" t="s">
        <v>18</v>
      </c>
      <c r="F606" s="9">
        <v>0.31736111111111115</v>
      </c>
      <c r="G606" s="9">
        <v>0.84861111111111109</v>
      </c>
      <c r="H606" s="10">
        <f t="shared" si="18"/>
        <v>0</v>
      </c>
      <c r="I606" s="10">
        <f t="shared" si="19"/>
        <v>0.53125</v>
      </c>
      <c r="J606" s="35">
        <f>IF($I$11&gt;Table4[[#This Row],[Working Hours]],$F$6-Table4[[#This Row],[Working Hours]],0)</f>
        <v>0</v>
      </c>
      <c r="K606" s="20" t="s">
        <v>239</v>
      </c>
    </row>
    <row r="607" spans="3:11" x14ac:dyDescent="0.25">
      <c r="C607" s="13" t="s">
        <v>49</v>
      </c>
      <c r="D607" s="8">
        <v>45801</v>
      </c>
      <c r="E607" s="7" t="s">
        <v>19</v>
      </c>
      <c r="F607" s="9">
        <v>0.36388888888888887</v>
      </c>
      <c r="G607" s="9">
        <v>0.9159722222222223</v>
      </c>
      <c r="H607" s="10">
        <f t="shared" si="18"/>
        <v>3.0555555555555558E-2</v>
      </c>
      <c r="I607" s="10">
        <f t="shared" si="19"/>
        <v>0.55208333333333348</v>
      </c>
      <c r="J607" s="35">
        <f>IF($I$11&gt;Table4[[#This Row],[Working Hours]],$F$6-Table4[[#This Row],[Working Hours]],0)</f>
        <v>0</v>
      </c>
      <c r="K607" s="20" t="s">
        <v>239</v>
      </c>
    </row>
    <row r="608" spans="3:11" x14ac:dyDescent="0.25">
      <c r="C608" s="13" t="s">
        <v>49</v>
      </c>
      <c r="D608" s="8">
        <v>45802</v>
      </c>
      <c r="E608" s="7" t="s">
        <v>7</v>
      </c>
      <c r="F608" s="9"/>
      <c r="G608" s="9"/>
      <c r="H608" s="10">
        <f t="shared" si="18"/>
        <v>0</v>
      </c>
      <c r="I608" s="10">
        <f t="shared" si="19"/>
        <v>0</v>
      </c>
      <c r="J608" s="35">
        <f>IF($I$11&gt;Table4[[#This Row],[Working Hours]],$F$6-Table4[[#This Row],[Working Hours]],0)</f>
        <v>0.33333333333333331</v>
      </c>
      <c r="K608" s="20" t="s">
        <v>240</v>
      </c>
    </row>
    <row r="609" spans="3:11" x14ac:dyDescent="0.25">
      <c r="C609" s="13" t="s">
        <v>49</v>
      </c>
      <c r="D609" s="8">
        <v>45803</v>
      </c>
      <c r="E609" s="7" t="s">
        <v>8</v>
      </c>
      <c r="F609" s="9"/>
      <c r="G609" s="9"/>
      <c r="H609" s="10">
        <f t="shared" si="18"/>
        <v>0</v>
      </c>
      <c r="I609" s="10">
        <f t="shared" si="19"/>
        <v>0</v>
      </c>
      <c r="J609" s="35">
        <f>IF($I$11&gt;Table4[[#This Row],[Working Hours]],$F$6-Table4[[#This Row],[Working Hours]],0)</f>
        <v>0.33333333333333331</v>
      </c>
      <c r="K609" s="20" t="s">
        <v>240</v>
      </c>
    </row>
    <row r="610" spans="3:11" x14ac:dyDescent="0.25">
      <c r="C610" s="13" t="s">
        <v>49</v>
      </c>
      <c r="D610" s="8">
        <v>45804</v>
      </c>
      <c r="E610" s="7" t="s">
        <v>20</v>
      </c>
      <c r="F610" s="9">
        <v>0.34583333333333338</v>
      </c>
      <c r="G610" s="9">
        <v>0.90416666666666667</v>
      </c>
      <c r="H610" s="10">
        <f t="shared" si="18"/>
        <v>1.2500000000000067E-2</v>
      </c>
      <c r="I610" s="10">
        <f t="shared" si="19"/>
        <v>0.55833333333333335</v>
      </c>
      <c r="J610" s="35">
        <f>IF($I$11&gt;Table4[[#This Row],[Working Hours]],$F$6-Table4[[#This Row],[Working Hours]],0)</f>
        <v>0</v>
      </c>
      <c r="K610" s="20" t="s">
        <v>239</v>
      </c>
    </row>
    <row r="611" spans="3:11" x14ac:dyDescent="0.25">
      <c r="C611" s="13" t="s">
        <v>49</v>
      </c>
      <c r="D611" s="8">
        <v>45805</v>
      </c>
      <c r="E611" s="7" t="s">
        <v>21</v>
      </c>
      <c r="F611" s="9">
        <v>0.4069444444444445</v>
      </c>
      <c r="G611" s="9">
        <v>0.9</v>
      </c>
      <c r="H611" s="10">
        <f t="shared" si="18"/>
        <v>7.3611111111111183E-2</v>
      </c>
      <c r="I611" s="10">
        <f t="shared" si="19"/>
        <v>0.49305555555555552</v>
      </c>
      <c r="J611" s="35">
        <f>IF($I$11&gt;Table4[[#This Row],[Working Hours]],$F$6-Table4[[#This Row],[Working Hours]],0)</f>
        <v>0</v>
      </c>
      <c r="K611" s="20" t="s">
        <v>239</v>
      </c>
    </row>
    <row r="612" spans="3:11" x14ac:dyDescent="0.25">
      <c r="C612" s="13" t="s">
        <v>49</v>
      </c>
      <c r="D612" s="8">
        <v>45806</v>
      </c>
      <c r="E612" s="7" t="s">
        <v>22</v>
      </c>
      <c r="F612" s="9">
        <v>0.37291666666666662</v>
      </c>
      <c r="G612" s="9">
        <v>0.97638888888888886</v>
      </c>
      <c r="H612" s="10">
        <f t="shared" si="18"/>
        <v>3.9583333333333304E-2</v>
      </c>
      <c r="I612" s="10">
        <f t="shared" si="19"/>
        <v>0.60347222222222219</v>
      </c>
      <c r="J612" s="35">
        <f>IF($I$11&gt;Table4[[#This Row],[Working Hours]],$F$6-Table4[[#This Row],[Working Hours]],0)</f>
        <v>0</v>
      </c>
      <c r="K612" s="20" t="s">
        <v>239</v>
      </c>
    </row>
    <row r="613" spans="3:11" x14ac:dyDescent="0.25">
      <c r="C613" s="13" t="s">
        <v>49</v>
      </c>
      <c r="D613" s="8">
        <v>45807</v>
      </c>
      <c r="E613" s="7" t="s">
        <v>18</v>
      </c>
      <c r="F613" s="9">
        <v>0.33124999999999999</v>
      </c>
      <c r="G613" s="9">
        <v>0.88680555555555562</v>
      </c>
      <c r="H613" s="10">
        <f t="shared" si="18"/>
        <v>0</v>
      </c>
      <c r="I613" s="10">
        <f t="shared" si="19"/>
        <v>0.55555555555555558</v>
      </c>
      <c r="J613" s="35">
        <f>IF($I$11&gt;Table4[[#This Row],[Working Hours]],$F$6-Table4[[#This Row],[Working Hours]],0)</f>
        <v>0</v>
      </c>
      <c r="K613" s="20" t="s">
        <v>239</v>
      </c>
    </row>
    <row r="614" spans="3:11" x14ac:dyDescent="0.25">
      <c r="C614" s="13" t="s">
        <v>49</v>
      </c>
      <c r="D614" s="8">
        <v>45808</v>
      </c>
      <c r="E614" s="7" t="s">
        <v>19</v>
      </c>
      <c r="F614" s="9">
        <v>0.3354166666666667</v>
      </c>
      <c r="G614" s="9">
        <v>0.99861111111111101</v>
      </c>
      <c r="H614" s="10">
        <f t="shared" si="18"/>
        <v>2.0833333333333814E-3</v>
      </c>
      <c r="I614" s="10">
        <f t="shared" si="19"/>
        <v>0.66319444444444431</v>
      </c>
      <c r="J614" s="35">
        <f>IF($I$11&gt;Table4[[#This Row],[Working Hours]],$F$6-Table4[[#This Row],[Working Hours]],0)</f>
        <v>0</v>
      </c>
      <c r="K614" s="20" t="s">
        <v>239</v>
      </c>
    </row>
    <row r="615" spans="3:11" x14ac:dyDescent="0.25">
      <c r="C615" s="13" t="s">
        <v>43</v>
      </c>
      <c r="D615" s="8">
        <v>45658</v>
      </c>
      <c r="E615" s="7" t="s">
        <v>7</v>
      </c>
      <c r="F615" s="9"/>
      <c r="G615" s="9"/>
      <c r="H615" s="10">
        <f t="shared" si="18"/>
        <v>0</v>
      </c>
      <c r="I615" s="10">
        <f t="shared" si="19"/>
        <v>0</v>
      </c>
      <c r="J615" s="35">
        <f>IF($I$11&gt;Table4[[#This Row],[Working Hours]],$F$6-Table4[[#This Row],[Working Hours]],0)</f>
        <v>0.33333333333333331</v>
      </c>
      <c r="K615" s="20" t="s">
        <v>240</v>
      </c>
    </row>
    <row r="616" spans="3:11" x14ac:dyDescent="0.25">
      <c r="C616" s="13" t="s">
        <v>43</v>
      </c>
      <c r="D616" s="8">
        <v>45659</v>
      </c>
      <c r="E616" s="7" t="s">
        <v>8</v>
      </c>
      <c r="F616" s="9"/>
      <c r="G616" s="9"/>
      <c r="H616" s="10">
        <f t="shared" si="18"/>
        <v>0</v>
      </c>
      <c r="I616" s="10">
        <f t="shared" si="19"/>
        <v>0</v>
      </c>
      <c r="J616" s="35">
        <f>IF($I$11&gt;Table4[[#This Row],[Working Hours]],$F$6-Table4[[#This Row],[Working Hours]],0)</f>
        <v>0.33333333333333331</v>
      </c>
      <c r="K616" s="20" t="s">
        <v>240</v>
      </c>
    </row>
    <row r="617" spans="3:11" x14ac:dyDescent="0.25">
      <c r="C617" s="13" t="s">
        <v>43</v>
      </c>
      <c r="D617" s="8">
        <v>45660</v>
      </c>
      <c r="E617" s="7" t="s">
        <v>20</v>
      </c>
      <c r="F617" s="9">
        <v>0.46875</v>
      </c>
      <c r="G617" s="9">
        <v>0.99861111111111101</v>
      </c>
      <c r="H617" s="10">
        <f t="shared" si="18"/>
        <v>0.13541666666666669</v>
      </c>
      <c r="I617" s="10">
        <f t="shared" si="19"/>
        <v>0.52986111111111101</v>
      </c>
      <c r="J617" s="35">
        <f>IF($I$11&gt;Table4[[#This Row],[Working Hours]],$F$6-Table4[[#This Row],[Working Hours]],0)</f>
        <v>0</v>
      </c>
      <c r="K617" s="20" t="s">
        <v>239</v>
      </c>
    </row>
    <row r="618" spans="3:11" x14ac:dyDescent="0.25">
      <c r="C618" s="13" t="s">
        <v>43</v>
      </c>
      <c r="D618" s="8">
        <v>45661</v>
      </c>
      <c r="E618" s="7" t="s">
        <v>21</v>
      </c>
      <c r="F618" s="9"/>
      <c r="G618" s="9"/>
      <c r="H618" s="10">
        <f t="shared" si="18"/>
        <v>0</v>
      </c>
      <c r="I618" s="10">
        <f t="shared" si="19"/>
        <v>0</v>
      </c>
      <c r="J618" s="35">
        <f>IF($I$11&gt;Table4[[#This Row],[Working Hours]],$F$6-Table4[[#This Row],[Working Hours]],0)</f>
        <v>0.33333333333333331</v>
      </c>
      <c r="K618" s="20" t="s">
        <v>238</v>
      </c>
    </row>
    <row r="619" spans="3:11" x14ac:dyDescent="0.25">
      <c r="C619" s="13" t="s">
        <v>43</v>
      </c>
      <c r="D619" s="8">
        <v>45662</v>
      </c>
      <c r="E619" s="7" t="s">
        <v>22</v>
      </c>
      <c r="F619" s="9"/>
      <c r="G619" s="9"/>
      <c r="H619" s="10">
        <f t="shared" si="18"/>
        <v>0</v>
      </c>
      <c r="I619" s="10">
        <f t="shared" si="19"/>
        <v>0</v>
      </c>
      <c r="J619" s="35">
        <f>IF($I$11&gt;Table4[[#This Row],[Working Hours]],$F$6-Table4[[#This Row],[Working Hours]],0)</f>
        <v>0.33333333333333331</v>
      </c>
      <c r="K619" s="20" t="s">
        <v>238</v>
      </c>
    </row>
    <row r="620" spans="3:11" x14ac:dyDescent="0.25">
      <c r="C620" s="13" t="s">
        <v>43</v>
      </c>
      <c r="D620" s="8">
        <v>45663</v>
      </c>
      <c r="E620" s="7" t="s">
        <v>18</v>
      </c>
      <c r="F620" s="9"/>
      <c r="G620" s="9"/>
      <c r="H620" s="10">
        <f t="shared" si="18"/>
        <v>0</v>
      </c>
      <c r="I620" s="10">
        <f t="shared" si="19"/>
        <v>0</v>
      </c>
      <c r="J620" s="35">
        <f>IF($I$11&gt;Table4[[#This Row],[Working Hours]],$F$6-Table4[[#This Row],[Working Hours]],0)</f>
        <v>0.33333333333333331</v>
      </c>
      <c r="K620" s="20" t="s">
        <v>238</v>
      </c>
    </row>
    <row r="621" spans="3:11" x14ac:dyDescent="0.25">
      <c r="C621" s="13" t="s">
        <v>43</v>
      </c>
      <c r="D621" s="8">
        <v>45664</v>
      </c>
      <c r="E621" s="7" t="s">
        <v>19</v>
      </c>
      <c r="F621" s="9">
        <v>0.47569444444444442</v>
      </c>
      <c r="G621" s="9">
        <v>0.95138888888888884</v>
      </c>
      <c r="H621" s="10">
        <f t="shared" si="18"/>
        <v>0.1423611111111111</v>
      </c>
      <c r="I621" s="10">
        <f t="shared" si="19"/>
        <v>0.47569444444444442</v>
      </c>
      <c r="J621" s="35">
        <f>IF($I$11&gt;Table4[[#This Row],[Working Hours]],$F$6-Table4[[#This Row],[Working Hours]],0)</f>
        <v>0</v>
      </c>
      <c r="K621" s="20" t="s">
        <v>239</v>
      </c>
    </row>
    <row r="622" spans="3:11" x14ac:dyDescent="0.25">
      <c r="C622" s="13" t="s">
        <v>43</v>
      </c>
      <c r="D622" s="8">
        <v>45665</v>
      </c>
      <c r="E622" s="7" t="s">
        <v>7</v>
      </c>
      <c r="F622" s="9"/>
      <c r="G622" s="9"/>
      <c r="H622" s="10">
        <f t="shared" si="18"/>
        <v>0</v>
      </c>
      <c r="I622" s="10">
        <f t="shared" si="19"/>
        <v>0</v>
      </c>
      <c r="J622" s="35">
        <f>IF($I$11&gt;Table4[[#This Row],[Working Hours]],$F$6-Table4[[#This Row],[Working Hours]],0)</f>
        <v>0.33333333333333331</v>
      </c>
      <c r="K622" s="20" t="s">
        <v>240</v>
      </c>
    </row>
    <row r="623" spans="3:11" x14ac:dyDescent="0.25">
      <c r="C623" s="13" t="s">
        <v>43</v>
      </c>
      <c r="D623" s="8">
        <v>45666</v>
      </c>
      <c r="E623" s="7" t="s">
        <v>8</v>
      </c>
      <c r="F623" s="9"/>
      <c r="G623" s="9"/>
      <c r="H623" s="10">
        <f t="shared" si="18"/>
        <v>0</v>
      </c>
      <c r="I623" s="10">
        <f t="shared" si="19"/>
        <v>0</v>
      </c>
      <c r="J623" s="35">
        <f>IF($I$11&gt;Table4[[#This Row],[Working Hours]],$F$6-Table4[[#This Row],[Working Hours]],0)</f>
        <v>0.33333333333333331</v>
      </c>
      <c r="K623" s="20" t="s">
        <v>240</v>
      </c>
    </row>
    <row r="624" spans="3:11" x14ac:dyDescent="0.25">
      <c r="C624" s="13" t="s">
        <v>43</v>
      </c>
      <c r="D624" s="8">
        <v>45667</v>
      </c>
      <c r="E624" s="7" t="s">
        <v>20</v>
      </c>
      <c r="F624" s="9">
        <v>0.4680555555555555</v>
      </c>
      <c r="G624" s="9">
        <v>0.90416666666666667</v>
      </c>
      <c r="H624" s="10">
        <f t="shared" si="18"/>
        <v>0.13472222222222219</v>
      </c>
      <c r="I624" s="10">
        <f t="shared" si="19"/>
        <v>0.43611111111111117</v>
      </c>
      <c r="J624" s="35">
        <f>IF($I$11&gt;Table4[[#This Row],[Working Hours]],$F$6-Table4[[#This Row],[Working Hours]],0)</f>
        <v>0</v>
      </c>
      <c r="K624" s="20" t="s">
        <v>239</v>
      </c>
    </row>
    <row r="625" spans="3:11" x14ac:dyDescent="0.25">
      <c r="C625" s="13" t="s">
        <v>43</v>
      </c>
      <c r="D625" s="8">
        <v>45668</v>
      </c>
      <c r="E625" s="7" t="s">
        <v>21</v>
      </c>
      <c r="F625" s="9">
        <v>0.38958333333333334</v>
      </c>
      <c r="G625" s="9">
        <v>0.97430555555555554</v>
      </c>
      <c r="H625" s="10">
        <f t="shared" si="18"/>
        <v>5.6250000000000022E-2</v>
      </c>
      <c r="I625" s="10">
        <f t="shared" si="19"/>
        <v>0.58472222222222214</v>
      </c>
      <c r="J625" s="35">
        <f>IF($I$11&gt;Table4[[#This Row],[Working Hours]],$F$6-Table4[[#This Row],[Working Hours]],0)</f>
        <v>0</v>
      </c>
      <c r="K625" s="20" t="s">
        <v>239</v>
      </c>
    </row>
    <row r="626" spans="3:11" x14ac:dyDescent="0.25">
      <c r="C626" s="13" t="s">
        <v>43</v>
      </c>
      <c r="D626" s="8">
        <v>45669</v>
      </c>
      <c r="E626" s="7" t="s">
        <v>22</v>
      </c>
      <c r="F626" s="9">
        <v>0.48888888888888887</v>
      </c>
      <c r="G626" s="9">
        <v>0.90416666666666667</v>
      </c>
      <c r="H626" s="10">
        <f t="shared" si="18"/>
        <v>0.15555555555555556</v>
      </c>
      <c r="I626" s="10">
        <f t="shared" si="19"/>
        <v>0.4152777777777778</v>
      </c>
      <c r="J626" s="35">
        <f>IF($I$11&gt;Table4[[#This Row],[Working Hours]],$F$6-Table4[[#This Row],[Working Hours]],0)</f>
        <v>0</v>
      </c>
      <c r="K626" s="20" t="s">
        <v>239</v>
      </c>
    </row>
    <row r="627" spans="3:11" x14ac:dyDescent="0.25">
      <c r="C627" s="13" t="s">
        <v>43</v>
      </c>
      <c r="D627" s="8">
        <v>45670</v>
      </c>
      <c r="E627" s="7" t="s">
        <v>18</v>
      </c>
      <c r="F627" s="9">
        <v>0.3354166666666667</v>
      </c>
      <c r="G627" s="9">
        <v>0.95694444444444438</v>
      </c>
      <c r="H627" s="10">
        <f t="shared" si="18"/>
        <v>2.0833333333333814E-3</v>
      </c>
      <c r="I627" s="10">
        <f t="shared" si="19"/>
        <v>0.62152777777777768</v>
      </c>
      <c r="J627" s="35">
        <f>IF($I$11&gt;Table4[[#This Row],[Working Hours]],$F$6-Table4[[#This Row],[Working Hours]],0)</f>
        <v>0</v>
      </c>
      <c r="K627" s="20" t="s">
        <v>239</v>
      </c>
    </row>
    <row r="628" spans="3:11" x14ac:dyDescent="0.25">
      <c r="C628" s="13" t="s">
        <v>43</v>
      </c>
      <c r="D628" s="8">
        <v>45671</v>
      </c>
      <c r="E628" s="7" t="s">
        <v>19</v>
      </c>
      <c r="F628" s="9">
        <v>0.41597222222222219</v>
      </c>
      <c r="G628" s="9">
        <v>0.97499999999999998</v>
      </c>
      <c r="H628" s="10">
        <f t="shared" si="18"/>
        <v>8.2638888888888873E-2</v>
      </c>
      <c r="I628" s="10">
        <f t="shared" si="19"/>
        <v>0.55902777777777779</v>
      </c>
      <c r="J628" s="35">
        <f>IF($I$11&gt;Table4[[#This Row],[Working Hours]],$F$6-Table4[[#This Row],[Working Hours]],0)</f>
        <v>0</v>
      </c>
      <c r="K628" s="20" t="s">
        <v>72</v>
      </c>
    </row>
    <row r="629" spans="3:11" x14ac:dyDescent="0.25">
      <c r="C629" s="13" t="s">
        <v>43</v>
      </c>
      <c r="D629" s="8">
        <v>45672</v>
      </c>
      <c r="E629" s="7" t="s">
        <v>7</v>
      </c>
      <c r="F629" s="9"/>
      <c r="G629" s="9"/>
      <c r="H629" s="10">
        <f t="shared" si="18"/>
        <v>0</v>
      </c>
      <c r="I629" s="10">
        <f t="shared" si="19"/>
        <v>0</v>
      </c>
      <c r="J629" s="35">
        <f>IF($I$11&gt;Table4[[#This Row],[Working Hours]],$F$6-Table4[[#This Row],[Working Hours]],0)</f>
        <v>0.33333333333333331</v>
      </c>
      <c r="K629" s="20" t="s">
        <v>240</v>
      </c>
    </row>
    <row r="630" spans="3:11" x14ac:dyDescent="0.25">
      <c r="C630" s="13" t="s">
        <v>43</v>
      </c>
      <c r="D630" s="8">
        <v>45673</v>
      </c>
      <c r="E630" s="7" t="s">
        <v>8</v>
      </c>
      <c r="F630" s="9"/>
      <c r="G630" s="9"/>
      <c r="H630" s="10">
        <f t="shared" si="18"/>
        <v>0</v>
      </c>
      <c r="I630" s="10">
        <f t="shared" si="19"/>
        <v>0</v>
      </c>
      <c r="J630" s="35">
        <f>IF($I$11&gt;Table4[[#This Row],[Working Hours]],$F$6-Table4[[#This Row],[Working Hours]],0)</f>
        <v>0.33333333333333331</v>
      </c>
      <c r="K630" s="20" t="s">
        <v>240</v>
      </c>
    </row>
    <row r="631" spans="3:11" x14ac:dyDescent="0.25">
      <c r="C631" s="13" t="s">
        <v>43</v>
      </c>
      <c r="D631" s="8">
        <v>45674</v>
      </c>
      <c r="E631" s="7" t="s">
        <v>20</v>
      </c>
      <c r="F631" s="9">
        <v>0.40416666666666662</v>
      </c>
      <c r="G631" s="9">
        <v>0.94166666666666676</v>
      </c>
      <c r="H631" s="10">
        <f t="shared" si="18"/>
        <v>7.0833333333333304E-2</v>
      </c>
      <c r="I631" s="10">
        <f t="shared" si="19"/>
        <v>0.53750000000000009</v>
      </c>
      <c r="J631" s="35">
        <f>IF($I$11&gt;Table4[[#This Row],[Working Hours]],$F$6-Table4[[#This Row],[Working Hours]],0)</f>
        <v>0</v>
      </c>
      <c r="K631" s="20" t="s">
        <v>239</v>
      </c>
    </row>
    <row r="632" spans="3:11" x14ac:dyDescent="0.25">
      <c r="C632" s="13" t="s">
        <v>43</v>
      </c>
      <c r="D632" s="8">
        <v>45675</v>
      </c>
      <c r="E632" s="7" t="s">
        <v>21</v>
      </c>
      <c r="F632" s="9">
        <v>0.44305555555555554</v>
      </c>
      <c r="G632" s="9">
        <v>0.9770833333333333</v>
      </c>
      <c r="H632" s="10">
        <f t="shared" si="18"/>
        <v>0.10972222222222222</v>
      </c>
      <c r="I632" s="10">
        <f t="shared" si="19"/>
        <v>0.53402777777777777</v>
      </c>
      <c r="J632" s="35">
        <f>IF($I$11&gt;Table4[[#This Row],[Working Hours]],$F$6-Table4[[#This Row],[Working Hours]],0)</f>
        <v>0</v>
      </c>
      <c r="K632" s="20" t="s">
        <v>239</v>
      </c>
    </row>
    <row r="633" spans="3:11" x14ac:dyDescent="0.25">
      <c r="C633" s="13" t="s">
        <v>43</v>
      </c>
      <c r="D633" s="8">
        <v>45676</v>
      </c>
      <c r="E633" s="7" t="s">
        <v>22</v>
      </c>
      <c r="F633" s="9">
        <v>0.40833333333333338</v>
      </c>
      <c r="G633" s="9">
        <v>0.94513888888888886</v>
      </c>
      <c r="H633" s="10">
        <f t="shared" si="18"/>
        <v>7.5000000000000067E-2</v>
      </c>
      <c r="I633" s="10">
        <f t="shared" si="19"/>
        <v>0.53680555555555554</v>
      </c>
      <c r="J633" s="35">
        <f>IF($I$11&gt;Table4[[#This Row],[Working Hours]],$F$6-Table4[[#This Row],[Working Hours]],0)</f>
        <v>0</v>
      </c>
      <c r="K633" s="20" t="s">
        <v>239</v>
      </c>
    </row>
    <row r="634" spans="3:11" x14ac:dyDescent="0.25">
      <c r="C634" s="13" t="s">
        <v>43</v>
      </c>
      <c r="D634" s="8">
        <v>45677</v>
      </c>
      <c r="E634" s="7" t="s">
        <v>18</v>
      </c>
      <c r="F634" s="9">
        <v>0.41597222222222219</v>
      </c>
      <c r="G634" s="9">
        <v>0.9770833333333333</v>
      </c>
      <c r="H634" s="10">
        <f t="shared" si="18"/>
        <v>8.2638888888888873E-2</v>
      </c>
      <c r="I634" s="10">
        <f t="shared" si="19"/>
        <v>0.56111111111111112</v>
      </c>
      <c r="J634" s="35">
        <f>IF($I$11&gt;Table4[[#This Row],[Working Hours]],$F$6-Table4[[#This Row],[Working Hours]],0)</f>
        <v>0</v>
      </c>
      <c r="K634" s="20" t="s">
        <v>239</v>
      </c>
    </row>
    <row r="635" spans="3:11" x14ac:dyDescent="0.25">
      <c r="C635" s="13" t="s">
        <v>43</v>
      </c>
      <c r="D635" s="8">
        <v>45678</v>
      </c>
      <c r="E635" s="7" t="s">
        <v>19</v>
      </c>
      <c r="F635" s="9">
        <v>0.35069444444444442</v>
      </c>
      <c r="G635" s="9">
        <v>0.84791666666666676</v>
      </c>
      <c r="H635" s="10">
        <f t="shared" si="18"/>
        <v>1.7361111111111105E-2</v>
      </c>
      <c r="I635" s="10">
        <f t="shared" si="19"/>
        <v>0.49722222222222234</v>
      </c>
      <c r="J635" s="35">
        <f>IF($I$11&gt;Table4[[#This Row],[Working Hours]],$F$6-Table4[[#This Row],[Working Hours]],0)</f>
        <v>0</v>
      </c>
      <c r="K635" s="20" t="s">
        <v>239</v>
      </c>
    </row>
    <row r="636" spans="3:11" x14ac:dyDescent="0.25">
      <c r="C636" s="13" t="s">
        <v>43</v>
      </c>
      <c r="D636" s="8">
        <v>45679</v>
      </c>
      <c r="E636" s="7" t="s">
        <v>7</v>
      </c>
      <c r="F636" s="9"/>
      <c r="G636" s="9"/>
      <c r="H636" s="10">
        <f t="shared" si="18"/>
        <v>0</v>
      </c>
      <c r="I636" s="10">
        <f t="shared" si="19"/>
        <v>0</v>
      </c>
      <c r="J636" s="35">
        <f>IF($I$11&gt;Table4[[#This Row],[Working Hours]],$F$6-Table4[[#This Row],[Working Hours]],0)</f>
        <v>0.33333333333333331</v>
      </c>
      <c r="K636" s="20" t="s">
        <v>240</v>
      </c>
    </row>
    <row r="637" spans="3:11" x14ac:dyDescent="0.25">
      <c r="C637" s="13" t="s">
        <v>43</v>
      </c>
      <c r="D637" s="8">
        <v>45680</v>
      </c>
      <c r="E637" s="7" t="s">
        <v>8</v>
      </c>
      <c r="F637" s="9"/>
      <c r="G637" s="9"/>
      <c r="H637" s="10">
        <f t="shared" si="18"/>
        <v>0</v>
      </c>
      <c r="I637" s="10">
        <f t="shared" si="19"/>
        <v>0</v>
      </c>
      <c r="J637" s="35">
        <f>IF($I$11&gt;Table4[[#This Row],[Working Hours]],$F$6-Table4[[#This Row],[Working Hours]],0)</f>
        <v>0.33333333333333331</v>
      </c>
      <c r="K637" s="20" t="s">
        <v>240</v>
      </c>
    </row>
    <row r="638" spans="3:11" x14ac:dyDescent="0.25">
      <c r="C638" s="13" t="s">
        <v>43</v>
      </c>
      <c r="D638" s="8">
        <v>45681</v>
      </c>
      <c r="E638" s="7" t="s">
        <v>20</v>
      </c>
      <c r="F638" s="9">
        <v>0.38750000000000001</v>
      </c>
      <c r="G638" s="9">
        <v>0.99861111111111101</v>
      </c>
      <c r="H638" s="10">
        <f t="shared" si="18"/>
        <v>5.4166666666666696E-2</v>
      </c>
      <c r="I638" s="10">
        <f t="shared" si="19"/>
        <v>0.61111111111111094</v>
      </c>
      <c r="J638" s="35">
        <f>IF($I$11&gt;Table4[[#This Row],[Working Hours]],$F$6-Table4[[#This Row],[Working Hours]],0)</f>
        <v>0</v>
      </c>
      <c r="K638" s="20" t="s">
        <v>239</v>
      </c>
    </row>
    <row r="639" spans="3:11" x14ac:dyDescent="0.25">
      <c r="C639" s="13" t="s">
        <v>43</v>
      </c>
      <c r="D639" s="8">
        <v>45682</v>
      </c>
      <c r="E639" s="7" t="s">
        <v>21</v>
      </c>
      <c r="F639" s="9">
        <v>0.31805555555555554</v>
      </c>
      <c r="G639" s="9">
        <v>0.90347222222222223</v>
      </c>
      <c r="H639" s="10">
        <f t="shared" si="18"/>
        <v>0</v>
      </c>
      <c r="I639" s="10">
        <f t="shared" si="19"/>
        <v>0.5854166666666667</v>
      </c>
      <c r="J639" s="35">
        <f>IF($I$11&gt;Table4[[#This Row],[Working Hours]],$F$6-Table4[[#This Row],[Working Hours]],0)</f>
        <v>0</v>
      </c>
      <c r="K639" s="20" t="s">
        <v>239</v>
      </c>
    </row>
    <row r="640" spans="3:11" ht="20.25" customHeight="1" x14ac:dyDescent="0.25">
      <c r="C640" s="13" t="s">
        <v>43</v>
      </c>
      <c r="D640" s="8">
        <v>45683</v>
      </c>
      <c r="E640" s="7" t="s">
        <v>22</v>
      </c>
      <c r="F640" s="9"/>
      <c r="G640" s="9"/>
      <c r="H640" s="10">
        <f t="shared" si="18"/>
        <v>0</v>
      </c>
      <c r="I640" s="10">
        <f t="shared" si="19"/>
        <v>0</v>
      </c>
      <c r="J640" s="35">
        <f>IF($I$11&gt;Table4[[#This Row],[Working Hours]],$F$6-Table4[[#This Row],[Working Hours]],0)</f>
        <v>0.33333333333333331</v>
      </c>
      <c r="K640" s="20" t="s">
        <v>241</v>
      </c>
    </row>
    <row r="641" spans="3:11" x14ac:dyDescent="0.25">
      <c r="C641" s="13" t="s">
        <v>43</v>
      </c>
      <c r="D641" s="8">
        <v>45684</v>
      </c>
      <c r="E641" s="7" t="s">
        <v>18</v>
      </c>
      <c r="F641" s="9">
        <v>0.46736111111111112</v>
      </c>
      <c r="G641" s="9">
        <v>0.94444444444444453</v>
      </c>
      <c r="H641" s="10">
        <f t="shared" si="18"/>
        <v>0.1340277777777778</v>
      </c>
      <c r="I641" s="10">
        <f t="shared" si="19"/>
        <v>0.47708333333333341</v>
      </c>
      <c r="J641" s="35">
        <f>IF($I$11&gt;Table4[[#This Row],[Working Hours]],$F$6-Table4[[#This Row],[Working Hours]],0)</f>
        <v>0</v>
      </c>
      <c r="K641" s="20" t="s">
        <v>239</v>
      </c>
    </row>
    <row r="642" spans="3:11" x14ac:dyDescent="0.25">
      <c r="C642" s="13" t="s">
        <v>43</v>
      </c>
      <c r="D642" s="8">
        <v>45685</v>
      </c>
      <c r="E642" s="7" t="s">
        <v>19</v>
      </c>
      <c r="F642" s="9">
        <v>0.38541666666666669</v>
      </c>
      <c r="G642" s="9">
        <v>0.97986111111111107</v>
      </c>
      <c r="H642" s="10">
        <f t="shared" si="18"/>
        <v>5.208333333333337E-2</v>
      </c>
      <c r="I642" s="10">
        <f t="shared" si="19"/>
        <v>0.59444444444444433</v>
      </c>
      <c r="J642" s="35">
        <f>IF($I$11&gt;Table4[[#This Row],[Working Hours]],$F$6-Table4[[#This Row],[Working Hours]],0)</f>
        <v>0</v>
      </c>
      <c r="K642" s="20" t="s">
        <v>239</v>
      </c>
    </row>
    <row r="643" spans="3:11" x14ac:dyDescent="0.25">
      <c r="C643" s="13" t="s">
        <v>43</v>
      </c>
      <c r="D643" s="8">
        <v>45686</v>
      </c>
      <c r="E643" s="7" t="s">
        <v>7</v>
      </c>
      <c r="F643" s="9"/>
      <c r="G643" s="9"/>
      <c r="H643" s="10">
        <f t="shared" si="18"/>
        <v>0</v>
      </c>
      <c r="I643" s="10">
        <f t="shared" si="19"/>
        <v>0</v>
      </c>
      <c r="J643" s="35">
        <f>IF($I$11&gt;Table4[[#This Row],[Working Hours]],$F$6-Table4[[#This Row],[Working Hours]],0)</f>
        <v>0.33333333333333331</v>
      </c>
      <c r="K643" s="20" t="s">
        <v>240</v>
      </c>
    </row>
    <row r="644" spans="3:11" x14ac:dyDescent="0.25">
      <c r="C644" s="13" t="s">
        <v>43</v>
      </c>
      <c r="D644" s="8">
        <v>45687</v>
      </c>
      <c r="E644" s="7" t="s">
        <v>8</v>
      </c>
      <c r="F644" s="9"/>
      <c r="G644" s="9"/>
      <c r="H644" s="10">
        <f t="shared" si="18"/>
        <v>0</v>
      </c>
      <c r="I644" s="10">
        <f t="shared" si="19"/>
        <v>0</v>
      </c>
      <c r="J644" s="35">
        <f>IF($I$11&gt;Table4[[#This Row],[Working Hours]],$F$6-Table4[[#This Row],[Working Hours]],0)</f>
        <v>0.33333333333333331</v>
      </c>
      <c r="K644" s="20" t="s">
        <v>240</v>
      </c>
    </row>
    <row r="645" spans="3:11" x14ac:dyDescent="0.25">
      <c r="C645" s="13" t="s">
        <v>43</v>
      </c>
      <c r="D645" s="8">
        <v>45688</v>
      </c>
      <c r="E645" s="7" t="s">
        <v>20</v>
      </c>
      <c r="F645" s="9">
        <v>0.48125000000000001</v>
      </c>
      <c r="G645" s="9">
        <v>0.8520833333333333</v>
      </c>
      <c r="H645" s="10">
        <f t="shared" si="18"/>
        <v>0.1479166666666667</v>
      </c>
      <c r="I645" s="10">
        <f t="shared" si="19"/>
        <v>0.37083333333333329</v>
      </c>
      <c r="J645" s="35">
        <v>0</v>
      </c>
      <c r="K645" s="20" t="s">
        <v>239</v>
      </c>
    </row>
    <row r="646" spans="3:11" x14ac:dyDescent="0.25">
      <c r="C646" s="13" t="s">
        <v>43</v>
      </c>
      <c r="D646" s="8">
        <v>45689</v>
      </c>
      <c r="E646" s="7" t="s">
        <v>21</v>
      </c>
      <c r="F646" s="9">
        <v>0.32500000000000001</v>
      </c>
      <c r="G646" s="9">
        <v>0.98541666666666661</v>
      </c>
      <c r="H646" s="10">
        <f t="shared" si="18"/>
        <v>0</v>
      </c>
      <c r="I646" s="10">
        <f t="shared" si="19"/>
        <v>0.66041666666666665</v>
      </c>
      <c r="J646" s="35">
        <f>IF($I$11&gt;Table4[[#This Row],[Working Hours]],$F$6-Table4[[#This Row],[Working Hours]],0)</f>
        <v>0</v>
      </c>
      <c r="K646" s="20" t="s">
        <v>239</v>
      </c>
    </row>
    <row r="647" spans="3:11" x14ac:dyDescent="0.25">
      <c r="C647" s="13" t="s">
        <v>43</v>
      </c>
      <c r="D647" s="8">
        <v>45690</v>
      </c>
      <c r="E647" s="7" t="s">
        <v>22</v>
      </c>
      <c r="F647" s="9">
        <v>0.45694444444444443</v>
      </c>
      <c r="G647" s="9">
        <v>0.90625</v>
      </c>
      <c r="H647" s="10">
        <f t="shared" si="18"/>
        <v>0.12361111111111112</v>
      </c>
      <c r="I647" s="10">
        <f t="shared" si="19"/>
        <v>0.44930555555555557</v>
      </c>
      <c r="J647" s="35">
        <f>IF($I$11&gt;Table4[[#This Row],[Working Hours]],$F$6-Table4[[#This Row],[Working Hours]],0)</f>
        <v>0</v>
      </c>
      <c r="K647" s="20" t="s">
        <v>239</v>
      </c>
    </row>
    <row r="648" spans="3:11" x14ac:dyDescent="0.25">
      <c r="C648" s="13" t="s">
        <v>43</v>
      </c>
      <c r="D648" s="8">
        <v>45691</v>
      </c>
      <c r="E648" s="7" t="s">
        <v>18</v>
      </c>
      <c r="F648" s="9">
        <v>0.3520833333333333</v>
      </c>
      <c r="G648" s="9">
        <v>0.8965277777777777</v>
      </c>
      <c r="H648" s="10">
        <f t="shared" si="18"/>
        <v>1.8749999999999989E-2</v>
      </c>
      <c r="I648" s="10">
        <f t="shared" si="19"/>
        <v>0.5444444444444444</v>
      </c>
      <c r="J648" s="35">
        <f>IF($I$11&gt;Table4[[#This Row],[Working Hours]],$F$6-Table4[[#This Row],[Working Hours]],0)</f>
        <v>0</v>
      </c>
      <c r="K648" s="20" t="s">
        <v>239</v>
      </c>
    </row>
    <row r="649" spans="3:11" x14ac:dyDescent="0.25">
      <c r="C649" s="13" t="s">
        <v>43</v>
      </c>
      <c r="D649" s="8">
        <v>45692</v>
      </c>
      <c r="E649" s="7" t="s">
        <v>19</v>
      </c>
      <c r="F649" s="9">
        <v>0.35069444444444442</v>
      </c>
      <c r="G649" s="9">
        <v>0.90347222222222223</v>
      </c>
      <c r="H649" s="10">
        <f t="shared" si="18"/>
        <v>1.7361111111111105E-2</v>
      </c>
      <c r="I649" s="10">
        <f t="shared" si="19"/>
        <v>0.55277777777777781</v>
      </c>
      <c r="J649" s="35">
        <f>IF($I$11&gt;Table4[[#This Row],[Working Hours]],$F$6-Table4[[#This Row],[Working Hours]],0)</f>
        <v>0</v>
      </c>
      <c r="K649" s="20" t="s">
        <v>239</v>
      </c>
    </row>
    <row r="650" spans="3:11" x14ac:dyDescent="0.25">
      <c r="C650" s="13" t="s">
        <v>43</v>
      </c>
      <c r="D650" s="8">
        <v>45693</v>
      </c>
      <c r="E650" s="7" t="s">
        <v>7</v>
      </c>
      <c r="F650" s="9"/>
      <c r="G650" s="9"/>
      <c r="H650" s="10">
        <f t="shared" si="18"/>
        <v>0</v>
      </c>
      <c r="I650" s="10">
        <f t="shared" si="19"/>
        <v>0</v>
      </c>
      <c r="J650" s="35">
        <f>IF($I$11&gt;Table4[[#This Row],[Working Hours]],$F$6-Table4[[#This Row],[Working Hours]],0)</f>
        <v>0.33333333333333331</v>
      </c>
      <c r="K650" s="20" t="s">
        <v>240</v>
      </c>
    </row>
    <row r="651" spans="3:11" x14ac:dyDescent="0.25">
      <c r="C651" s="13" t="s">
        <v>43</v>
      </c>
      <c r="D651" s="8">
        <v>45694</v>
      </c>
      <c r="E651" s="7" t="s">
        <v>8</v>
      </c>
      <c r="F651" s="9"/>
      <c r="G651" s="9"/>
      <c r="H651" s="10">
        <f t="shared" si="18"/>
        <v>0</v>
      </c>
      <c r="I651" s="10">
        <f t="shared" si="19"/>
        <v>0</v>
      </c>
      <c r="J651" s="35">
        <f>IF($I$11&gt;Table4[[#This Row],[Working Hours]],$F$6-Table4[[#This Row],[Working Hours]],0)</f>
        <v>0.33333333333333331</v>
      </c>
      <c r="K651" s="20" t="s">
        <v>240</v>
      </c>
    </row>
    <row r="652" spans="3:11" x14ac:dyDescent="0.25">
      <c r="C652" s="13" t="s">
        <v>43</v>
      </c>
      <c r="D652" s="8">
        <v>45695</v>
      </c>
      <c r="E652" s="7" t="s">
        <v>20</v>
      </c>
      <c r="F652" s="9">
        <v>0.46597222222222223</v>
      </c>
      <c r="G652" s="9">
        <v>0.94027777777777777</v>
      </c>
      <c r="H652" s="10">
        <f t="shared" ref="H652:H715" si="20">IF($F652&gt;$F$6,$F652-$F$6,0)</f>
        <v>0.13263888888888892</v>
      </c>
      <c r="I652" s="10">
        <f t="shared" ref="I652:I715" si="21">$G652-$F652</f>
        <v>0.47430555555555554</v>
      </c>
      <c r="J652" s="35">
        <f>IF($I$11&gt;Table4[[#This Row],[Working Hours]],$F$6-Table4[[#This Row],[Working Hours]],0)</f>
        <v>0</v>
      </c>
      <c r="K652" s="20" t="s">
        <v>239</v>
      </c>
    </row>
    <row r="653" spans="3:11" x14ac:dyDescent="0.25">
      <c r="C653" s="13" t="s">
        <v>43</v>
      </c>
      <c r="D653" s="8">
        <v>45696</v>
      </c>
      <c r="E653" s="7" t="s">
        <v>21</v>
      </c>
      <c r="F653" s="9">
        <v>0.36319444444444443</v>
      </c>
      <c r="G653" s="9">
        <v>0.95624999999999993</v>
      </c>
      <c r="H653" s="10">
        <f t="shared" si="20"/>
        <v>2.9861111111111116E-2</v>
      </c>
      <c r="I653" s="10">
        <f t="shared" si="21"/>
        <v>0.59305555555555545</v>
      </c>
      <c r="J653" s="35">
        <f>IF($I$11&gt;Table4[[#This Row],[Working Hours]],$F$6-Table4[[#This Row],[Working Hours]],0)</f>
        <v>0</v>
      </c>
      <c r="K653" s="20" t="s">
        <v>239</v>
      </c>
    </row>
    <row r="654" spans="3:11" x14ac:dyDescent="0.25">
      <c r="C654" s="13" t="s">
        <v>43</v>
      </c>
      <c r="D654" s="8">
        <v>45697</v>
      </c>
      <c r="E654" s="7" t="s">
        <v>22</v>
      </c>
      <c r="F654" s="9">
        <v>0.39444444444444443</v>
      </c>
      <c r="G654" s="9">
        <v>0.9472222222222223</v>
      </c>
      <c r="H654" s="10">
        <f t="shared" si="20"/>
        <v>6.1111111111111116E-2</v>
      </c>
      <c r="I654" s="10">
        <f t="shared" si="21"/>
        <v>0.55277777777777781</v>
      </c>
      <c r="J654" s="35">
        <f>IF($I$11&gt;Table4[[#This Row],[Working Hours]],$F$6-Table4[[#This Row],[Working Hours]],0)</f>
        <v>0</v>
      </c>
      <c r="K654" s="20" t="s">
        <v>239</v>
      </c>
    </row>
    <row r="655" spans="3:11" x14ac:dyDescent="0.25">
      <c r="C655" s="13" t="s">
        <v>43</v>
      </c>
      <c r="D655" s="8">
        <v>45698</v>
      </c>
      <c r="E655" s="7" t="s">
        <v>18</v>
      </c>
      <c r="F655" s="9">
        <v>0.34583333333333338</v>
      </c>
      <c r="G655" s="9">
        <v>0.96875</v>
      </c>
      <c r="H655" s="10">
        <f t="shared" si="20"/>
        <v>1.2500000000000067E-2</v>
      </c>
      <c r="I655" s="10">
        <f t="shared" si="21"/>
        <v>0.62291666666666656</v>
      </c>
      <c r="J655" s="35">
        <f>IF($I$11&gt;Table4[[#This Row],[Working Hours]],$F$6-Table4[[#This Row],[Working Hours]],0)</f>
        <v>0</v>
      </c>
      <c r="K655" s="20" t="s">
        <v>239</v>
      </c>
    </row>
    <row r="656" spans="3:11" x14ac:dyDescent="0.25">
      <c r="C656" s="13" t="s">
        <v>43</v>
      </c>
      <c r="D656" s="8">
        <v>45699</v>
      </c>
      <c r="E656" s="7" t="s">
        <v>19</v>
      </c>
      <c r="F656" s="9">
        <v>0.33680555555555558</v>
      </c>
      <c r="G656" s="9">
        <v>0.8965277777777777</v>
      </c>
      <c r="H656" s="10">
        <f t="shared" si="20"/>
        <v>3.4722222222222654E-3</v>
      </c>
      <c r="I656" s="10">
        <f t="shared" si="21"/>
        <v>0.55972222222222212</v>
      </c>
      <c r="J656" s="35">
        <f>IF($I$11&gt;Table4[[#This Row],[Working Hours]],$F$6-Table4[[#This Row],[Working Hours]],0)</f>
        <v>0</v>
      </c>
      <c r="K656" s="20" t="s">
        <v>239</v>
      </c>
    </row>
    <row r="657" spans="3:11" x14ac:dyDescent="0.25">
      <c r="C657" s="13" t="s">
        <v>43</v>
      </c>
      <c r="D657" s="8">
        <v>45700</v>
      </c>
      <c r="E657" s="7" t="s">
        <v>7</v>
      </c>
      <c r="F657" s="9"/>
      <c r="G657" s="9"/>
      <c r="H657" s="10">
        <f t="shared" si="20"/>
        <v>0</v>
      </c>
      <c r="I657" s="10">
        <f t="shared" si="21"/>
        <v>0</v>
      </c>
      <c r="J657" s="35">
        <f>IF($I$11&gt;Table4[[#This Row],[Working Hours]],$F$6-Table4[[#This Row],[Working Hours]],0)</f>
        <v>0.33333333333333331</v>
      </c>
      <c r="K657" s="20" t="s">
        <v>240</v>
      </c>
    </row>
    <row r="658" spans="3:11" x14ac:dyDescent="0.25">
      <c r="C658" s="13" t="s">
        <v>43</v>
      </c>
      <c r="D658" s="8">
        <v>45701</v>
      </c>
      <c r="E658" s="7" t="s">
        <v>8</v>
      </c>
      <c r="F658" s="9"/>
      <c r="G658" s="9"/>
      <c r="H658" s="10">
        <f t="shared" si="20"/>
        <v>0</v>
      </c>
      <c r="I658" s="10">
        <f t="shared" si="21"/>
        <v>0</v>
      </c>
      <c r="J658" s="35">
        <f>IF($I$11&gt;Table4[[#This Row],[Working Hours]],$F$6-Table4[[#This Row],[Working Hours]],0)</f>
        <v>0.33333333333333331</v>
      </c>
      <c r="K658" s="20" t="s">
        <v>240</v>
      </c>
    </row>
    <row r="659" spans="3:11" x14ac:dyDescent="0.25">
      <c r="C659" s="13" t="s">
        <v>43</v>
      </c>
      <c r="D659" s="8">
        <v>45702</v>
      </c>
      <c r="E659" s="7" t="s">
        <v>20</v>
      </c>
      <c r="F659" s="9">
        <v>0.43055555555555558</v>
      </c>
      <c r="G659" s="9">
        <v>0.89444444444444438</v>
      </c>
      <c r="H659" s="10">
        <f t="shared" si="20"/>
        <v>9.7222222222222265E-2</v>
      </c>
      <c r="I659" s="10">
        <f t="shared" si="21"/>
        <v>0.4638888888888888</v>
      </c>
      <c r="J659" s="35">
        <f>IF($I$11&gt;Table4[[#This Row],[Working Hours]],$F$6-Table4[[#This Row],[Working Hours]],0)</f>
        <v>0</v>
      </c>
      <c r="K659" s="20" t="s">
        <v>239</v>
      </c>
    </row>
    <row r="660" spans="3:11" x14ac:dyDescent="0.25">
      <c r="C660" s="13" t="s">
        <v>43</v>
      </c>
      <c r="D660" s="8">
        <v>45703</v>
      </c>
      <c r="E660" s="7" t="s">
        <v>21</v>
      </c>
      <c r="F660" s="9">
        <v>0.3666666666666667</v>
      </c>
      <c r="G660" s="9">
        <v>0.86736111111111114</v>
      </c>
      <c r="H660" s="10">
        <f t="shared" si="20"/>
        <v>3.3333333333333381E-2</v>
      </c>
      <c r="I660" s="10">
        <f t="shared" si="21"/>
        <v>0.50069444444444444</v>
      </c>
      <c r="J660" s="35">
        <f>IF($I$11&gt;Table4[[#This Row],[Working Hours]],$F$6-Table4[[#This Row],[Working Hours]],0)</f>
        <v>0</v>
      </c>
      <c r="K660" s="20" t="s">
        <v>239</v>
      </c>
    </row>
    <row r="661" spans="3:11" x14ac:dyDescent="0.25">
      <c r="C661" s="13" t="s">
        <v>43</v>
      </c>
      <c r="D661" s="8">
        <v>45704</v>
      </c>
      <c r="E661" s="7" t="s">
        <v>22</v>
      </c>
      <c r="F661" s="9"/>
      <c r="G661" s="9"/>
      <c r="H661" s="10">
        <f t="shared" si="20"/>
        <v>0</v>
      </c>
      <c r="I661" s="10">
        <f t="shared" si="21"/>
        <v>0</v>
      </c>
      <c r="J661" s="35">
        <f>IF($I$11&gt;Table4[[#This Row],[Working Hours]],$F$6-Table4[[#This Row],[Working Hours]],0)</f>
        <v>0.33333333333333331</v>
      </c>
      <c r="K661" s="20" t="s">
        <v>238</v>
      </c>
    </row>
    <row r="662" spans="3:11" x14ac:dyDescent="0.25">
      <c r="C662" s="13" t="s">
        <v>43</v>
      </c>
      <c r="D662" s="8">
        <v>45705</v>
      </c>
      <c r="E662" s="7" t="s">
        <v>18</v>
      </c>
      <c r="F662" s="9"/>
      <c r="G662" s="9"/>
      <c r="H662" s="10">
        <f t="shared" si="20"/>
        <v>0</v>
      </c>
      <c r="I662" s="10">
        <f t="shared" si="21"/>
        <v>0</v>
      </c>
      <c r="J662" s="35">
        <f>IF($I$11&gt;Table4[[#This Row],[Working Hours]],$F$6-Table4[[#This Row],[Working Hours]],0)</f>
        <v>0.33333333333333331</v>
      </c>
      <c r="K662" s="20" t="s">
        <v>238</v>
      </c>
    </row>
    <row r="663" spans="3:11" x14ac:dyDescent="0.25">
      <c r="C663" s="13" t="s">
        <v>43</v>
      </c>
      <c r="D663" s="8">
        <v>45706</v>
      </c>
      <c r="E663" s="7" t="s">
        <v>19</v>
      </c>
      <c r="F663" s="9"/>
      <c r="G663" s="9"/>
      <c r="H663" s="10">
        <f t="shared" si="20"/>
        <v>0</v>
      </c>
      <c r="I663" s="10">
        <f t="shared" si="21"/>
        <v>0</v>
      </c>
      <c r="J663" s="35">
        <f>IF($I$11&gt;Table4[[#This Row],[Working Hours]],$F$6-Table4[[#This Row],[Working Hours]],0)</f>
        <v>0.33333333333333331</v>
      </c>
      <c r="K663" s="20" t="s">
        <v>238</v>
      </c>
    </row>
    <row r="664" spans="3:11" x14ac:dyDescent="0.25">
      <c r="C664" s="13" t="s">
        <v>43</v>
      </c>
      <c r="D664" s="8">
        <v>45707</v>
      </c>
      <c r="E664" s="7" t="s">
        <v>7</v>
      </c>
      <c r="F664" s="9"/>
      <c r="G664" s="9"/>
      <c r="H664" s="10">
        <f t="shared" si="20"/>
        <v>0</v>
      </c>
      <c r="I664" s="10">
        <f t="shared" si="21"/>
        <v>0</v>
      </c>
      <c r="J664" s="35">
        <f>IF($I$11&gt;Table4[[#This Row],[Working Hours]],$F$6-Table4[[#This Row],[Working Hours]],0)</f>
        <v>0.33333333333333331</v>
      </c>
      <c r="K664" s="20" t="s">
        <v>240</v>
      </c>
    </row>
    <row r="665" spans="3:11" x14ac:dyDescent="0.25">
      <c r="C665" s="13" t="s">
        <v>43</v>
      </c>
      <c r="D665" s="8">
        <v>45708</v>
      </c>
      <c r="E665" s="7" t="s">
        <v>8</v>
      </c>
      <c r="F665" s="9"/>
      <c r="G665" s="9"/>
      <c r="H665" s="10">
        <f t="shared" si="20"/>
        <v>0</v>
      </c>
      <c r="I665" s="10">
        <f t="shared" si="21"/>
        <v>0</v>
      </c>
      <c r="J665" s="35">
        <f>IF($I$11&gt;Table4[[#This Row],[Working Hours]],$F$6-Table4[[#This Row],[Working Hours]],0)</f>
        <v>0.33333333333333331</v>
      </c>
      <c r="K665" s="20" t="s">
        <v>240</v>
      </c>
    </row>
    <row r="666" spans="3:11" x14ac:dyDescent="0.25">
      <c r="C666" s="13" t="s">
        <v>43</v>
      </c>
      <c r="D666" s="8">
        <v>45709</v>
      </c>
      <c r="E666" s="7" t="s">
        <v>20</v>
      </c>
      <c r="F666" s="9">
        <v>0.35486111111111113</v>
      </c>
      <c r="G666" s="9">
        <v>0.91111111111111109</v>
      </c>
      <c r="H666" s="10">
        <f t="shared" si="20"/>
        <v>2.1527777777777812E-2</v>
      </c>
      <c r="I666" s="10">
        <f t="shared" si="21"/>
        <v>0.55624999999999991</v>
      </c>
      <c r="J666" s="35">
        <f>IF($I$11&gt;Table4[[#This Row],[Working Hours]],$F$6-Table4[[#This Row],[Working Hours]],0)</f>
        <v>0</v>
      </c>
      <c r="K666" s="20" t="s">
        <v>239</v>
      </c>
    </row>
    <row r="667" spans="3:11" x14ac:dyDescent="0.25">
      <c r="C667" s="13" t="s">
        <v>43</v>
      </c>
      <c r="D667" s="8">
        <v>45710</v>
      </c>
      <c r="E667" s="7" t="s">
        <v>21</v>
      </c>
      <c r="F667" s="9">
        <v>0.30277777777777776</v>
      </c>
      <c r="G667" s="9">
        <v>0.89374999999999993</v>
      </c>
      <c r="H667" s="10">
        <f t="shared" si="20"/>
        <v>0</v>
      </c>
      <c r="I667" s="10">
        <f t="shared" si="21"/>
        <v>0.59097222222222223</v>
      </c>
      <c r="J667" s="35">
        <f>IF($I$11&gt;Table4[[#This Row],[Working Hours]],$F$6-Table4[[#This Row],[Working Hours]],0)</f>
        <v>0</v>
      </c>
      <c r="K667" s="20" t="s">
        <v>239</v>
      </c>
    </row>
    <row r="668" spans="3:11" x14ac:dyDescent="0.25">
      <c r="C668" s="13" t="s">
        <v>43</v>
      </c>
      <c r="D668" s="8">
        <v>45711</v>
      </c>
      <c r="E668" s="7" t="s">
        <v>22</v>
      </c>
      <c r="F668" s="9">
        <v>0.40138888888888885</v>
      </c>
      <c r="G668" s="9">
        <v>0.86111111111111116</v>
      </c>
      <c r="H668" s="10">
        <f t="shared" si="20"/>
        <v>6.8055555555555536E-2</v>
      </c>
      <c r="I668" s="10">
        <f t="shared" si="21"/>
        <v>0.45972222222222231</v>
      </c>
      <c r="J668" s="35">
        <f>IF($I$11&gt;Table4[[#This Row],[Working Hours]],$F$6-Table4[[#This Row],[Working Hours]],0)</f>
        <v>0</v>
      </c>
      <c r="K668" s="20" t="s">
        <v>239</v>
      </c>
    </row>
    <row r="669" spans="3:11" x14ac:dyDescent="0.25">
      <c r="C669" s="13" t="s">
        <v>43</v>
      </c>
      <c r="D669" s="8">
        <v>45712</v>
      </c>
      <c r="E669" s="7" t="s">
        <v>18</v>
      </c>
      <c r="F669" s="9">
        <v>0.29166666666666669</v>
      </c>
      <c r="G669" s="9">
        <v>0.8520833333333333</v>
      </c>
      <c r="H669" s="10">
        <f t="shared" si="20"/>
        <v>0</v>
      </c>
      <c r="I669" s="10">
        <f t="shared" si="21"/>
        <v>0.56041666666666656</v>
      </c>
      <c r="J669" s="35">
        <f>IF($I$11&gt;Table4[[#This Row],[Working Hours]],$F$6-Table4[[#This Row],[Working Hours]],0)</f>
        <v>0</v>
      </c>
      <c r="K669" s="20" t="s">
        <v>239</v>
      </c>
    </row>
    <row r="670" spans="3:11" x14ac:dyDescent="0.25">
      <c r="C670" s="13" t="s">
        <v>43</v>
      </c>
      <c r="D670" s="8">
        <v>45713</v>
      </c>
      <c r="E670" s="7" t="s">
        <v>19</v>
      </c>
      <c r="F670" s="9">
        <v>0.43888888888888888</v>
      </c>
      <c r="G670" s="9">
        <v>0.84513888888888899</v>
      </c>
      <c r="H670" s="10">
        <f t="shared" si="20"/>
        <v>0.10555555555555557</v>
      </c>
      <c r="I670" s="10">
        <f t="shared" si="21"/>
        <v>0.40625000000000011</v>
      </c>
      <c r="J670" s="35">
        <f>IF($I$11&gt;Table4[[#This Row],[Working Hours]],$F$6-Table4[[#This Row],[Working Hours]],0)</f>
        <v>0</v>
      </c>
      <c r="K670" s="20" t="s">
        <v>239</v>
      </c>
    </row>
    <row r="671" spans="3:11" x14ac:dyDescent="0.25">
      <c r="C671" s="13" t="s">
        <v>43</v>
      </c>
      <c r="D671" s="8">
        <v>45714</v>
      </c>
      <c r="E671" s="7" t="s">
        <v>7</v>
      </c>
      <c r="F671" s="9"/>
      <c r="G671" s="9"/>
      <c r="H671" s="10">
        <f t="shared" si="20"/>
        <v>0</v>
      </c>
      <c r="I671" s="10">
        <f t="shared" si="21"/>
        <v>0</v>
      </c>
      <c r="J671" s="35">
        <f>IF($I$11&gt;Table4[[#This Row],[Working Hours]],$F$6-Table4[[#This Row],[Working Hours]],0)</f>
        <v>0.33333333333333331</v>
      </c>
      <c r="K671" s="20" t="s">
        <v>240</v>
      </c>
    </row>
    <row r="672" spans="3:11" x14ac:dyDescent="0.25">
      <c r="C672" s="13" t="s">
        <v>43</v>
      </c>
      <c r="D672" s="8">
        <v>45715</v>
      </c>
      <c r="E672" s="7" t="s">
        <v>8</v>
      </c>
      <c r="F672" s="9"/>
      <c r="G672" s="9"/>
      <c r="H672" s="10">
        <f t="shared" si="20"/>
        <v>0</v>
      </c>
      <c r="I672" s="10">
        <f t="shared" si="21"/>
        <v>0</v>
      </c>
      <c r="J672" s="35">
        <f>IF($I$11&gt;Table4[[#This Row],[Working Hours]],$F$6-Table4[[#This Row],[Working Hours]],0)</f>
        <v>0.33333333333333331</v>
      </c>
      <c r="K672" s="20" t="s">
        <v>240</v>
      </c>
    </row>
    <row r="673" spans="3:11" x14ac:dyDescent="0.25">
      <c r="C673" s="13" t="s">
        <v>43</v>
      </c>
      <c r="D673" s="8">
        <v>45716</v>
      </c>
      <c r="E673" s="7" t="s">
        <v>20</v>
      </c>
      <c r="F673" s="9">
        <v>0.48472222222222222</v>
      </c>
      <c r="G673" s="9">
        <v>0.9868055555555556</v>
      </c>
      <c r="H673" s="10">
        <f t="shared" si="20"/>
        <v>0.15138888888888891</v>
      </c>
      <c r="I673" s="10">
        <f t="shared" si="21"/>
        <v>0.50208333333333344</v>
      </c>
      <c r="J673" s="35">
        <f>IF($I$11&gt;Table4[[#This Row],[Working Hours]],$F$6-Table4[[#This Row],[Working Hours]],0)</f>
        <v>0</v>
      </c>
      <c r="K673" s="20" t="s">
        <v>239</v>
      </c>
    </row>
    <row r="674" spans="3:11" x14ac:dyDescent="0.25">
      <c r="C674" s="13" t="s">
        <v>43</v>
      </c>
      <c r="D674" s="8">
        <v>45717</v>
      </c>
      <c r="E674" s="7" t="s">
        <v>21</v>
      </c>
      <c r="F674" s="9">
        <v>0.35972222222222222</v>
      </c>
      <c r="G674" s="9">
        <v>0.84513888888888899</v>
      </c>
      <c r="H674" s="10">
        <f t="shared" si="20"/>
        <v>2.6388888888888906E-2</v>
      </c>
      <c r="I674" s="10">
        <f t="shared" si="21"/>
        <v>0.48541666666666677</v>
      </c>
      <c r="J674" s="35">
        <f>IF($I$11&gt;Table4[[#This Row],[Working Hours]],$F$6-Table4[[#This Row],[Working Hours]],0)</f>
        <v>0</v>
      </c>
      <c r="K674" s="20" t="s">
        <v>239</v>
      </c>
    </row>
    <row r="675" spans="3:11" x14ac:dyDescent="0.25">
      <c r="C675" s="13" t="s">
        <v>43</v>
      </c>
      <c r="D675" s="8">
        <v>45718</v>
      </c>
      <c r="E675" s="7" t="s">
        <v>22</v>
      </c>
      <c r="F675" s="9">
        <v>0.37986111111111115</v>
      </c>
      <c r="G675" s="9">
        <v>0.92986111111111114</v>
      </c>
      <c r="H675" s="10">
        <f t="shared" si="20"/>
        <v>4.6527777777777835E-2</v>
      </c>
      <c r="I675" s="10">
        <f t="shared" si="21"/>
        <v>0.55000000000000004</v>
      </c>
      <c r="J675" s="35">
        <f>IF($I$11&gt;Table4[[#This Row],[Working Hours]],$F$6-Table4[[#This Row],[Working Hours]],0)</f>
        <v>0</v>
      </c>
      <c r="K675" s="20" t="s">
        <v>239</v>
      </c>
    </row>
    <row r="676" spans="3:11" x14ac:dyDescent="0.25">
      <c r="C676" s="13" t="s">
        <v>43</v>
      </c>
      <c r="D676" s="8">
        <v>45719</v>
      </c>
      <c r="E676" s="7" t="s">
        <v>18</v>
      </c>
      <c r="F676" s="9">
        <v>0.34791666666666665</v>
      </c>
      <c r="G676" s="9">
        <v>0.98402777777777783</v>
      </c>
      <c r="H676" s="10">
        <f t="shared" si="20"/>
        <v>1.4583333333333337E-2</v>
      </c>
      <c r="I676" s="10">
        <f t="shared" si="21"/>
        <v>0.63611111111111118</v>
      </c>
      <c r="J676" s="35">
        <f>IF($I$11&gt;Table4[[#This Row],[Working Hours]],$F$6-Table4[[#This Row],[Working Hours]],0)</f>
        <v>0</v>
      </c>
      <c r="K676" s="20" t="s">
        <v>239</v>
      </c>
    </row>
    <row r="677" spans="3:11" x14ac:dyDescent="0.25">
      <c r="C677" s="13" t="s">
        <v>43</v>
      </c>
      <c r="D677" s="8">
        <v>45720</v>
      </c>
      <c r="E677" s="7" t="s">
        <v>19</v>
      </c>
      <c r="F677" s="9">
        <v>0.39583333333333331</v>
      </c>
      <c r="G677" s="9">
        <v>0.99305555555555547</v>
      </c>
      <c r="H677" s="10">
        <f t="shared" si="20"/>
        <v>6.25E-2</v>
      </c>
      <c r="I677" s="10">
        <f t="shared" si="21"/>
        <v>0.5972222222222221</v>
      </c>
      <c r="J677" s="35">
        <f>IF($I$11&gt;Table4[[#This Row],[Working Hours]],$F$6-Table4[[#This Row],[Working Hours]],0)</f>
        <v>0</v>
      </c>
      <c r="K677" s="20" t="s">
        <v>239</v>
      </c>
    </row>
    <row r="678" spans="3:11" x14ac:dyDescent="0.25">
      <c r="C678" s="13" t="s">
        <v>43</v>
      </c>
      <c r="D678" s="8">
        <v>45721</v>
      </c>
      <c r="E678" s="7" t="s">
        <v>7</v>
      </c>
      <c r="F678" s="9"/>
      <c r="G678" s="9"/>
      <c r="H678" s="10">
        <f t="shared" si="20"/>
        <v>0</v>
      </c>
      <c r="I678" s="10">
        <f t="shared" si="21"/>
        <v>0</v>
      </c>
      <c r="J678" s="35">
        <f>IF($I$11&gt;Table4[[#This Row],[Working Hours]],$F$6-Table4[[#This Row],[Working Hours]],0)</f>
        <v>0.33333333333333331</v>
      </c>
      <c r="K678" s="20" t="s">
        <v>240</v>
      </c>
    </row>
    <row r="679" spans="3:11" x14ac:dyDescent="0.25">
      <c r="C679" s="13" t="s">
        <v>43</v>
      </c>
      <c r="D679" s="8">
        <v>45722</v>
      </c>
      <c r="E679" s="7" t="s">
        <v>8</v>
      </c>
      <c r="F679" s="9"/>
      <c r="G679" s="9"/>
      <c r="H679" s="10">
        <f t="shared" si="20"/>
        <v>0</v>
      </c>
      <c r="I679" s="10">
        <f t="shared" si="21"/>
        <v>0</v>
      </c>
      <c r="J679" s="35">
        <f>IF($I$11&gt;Table4[[#This Row],[Working Hours]],$F$6-Table4[[#This Row],[Working Hours]],0)</f>
        <v>0.33333333333333331</v>
      </c>
      <c r="K679" s="20" t="s">
        <v>240</v>
      </c>
    </row>
    <row r="680" spans="3:11" x14ac:dyDescent="0.25">
      <c r="C680" s="13" t="s">
        <v>43</v>
      </c>
      <c r="D680" s="8">
        <v>45723</v>
      </c>
      <c r="E680" s="7" t="s">
        <v>20</v>
      </c>
      <c r="F680" s="9">
        <v>0.40833333333333338</v>
      </c>
      <c r="G680" s="9">
        <v>0.91527777777777775</v>
      </c>
      <c r="H680" s="10">
        <f t="shared" si="20"/>
        <v>7.5000000000000067E-2</v>
      </c>
      <c r="I680" s="10">
        <f t="shared" si="21"/>
        <v>0.50694444444444442</v>
      </c>
      <c r="J680" s="35">
        <f>IF($I$11&gt;Table4[[#This Row],[Working Hours]],$F$6-Table4[[#This Row],[Working Hours]],0)</f>
        <v>0</v>
      </c>
      <c r="K680" s="20" t="s">
        <v>239</v>
      </c>
    </row>
    <row r="681" spans="3:11" x14ac:dyDescent="0.25">
      <c r="C681" s="13" t="s">
        <v>43</v>
      </c>
      <c r="D681" s="8">
        <v>45724</v>
      </c>
      <c r="E681" s="7" t="s">
        <v>21</v>
      </c>
      <c r="F681" s="9">
        <v>0.35486111111111113</v>
      </c>
      <c r="G681" s="9">
        <v>0.88680555555555562</v>
      </c>
      <c r="H681" s="10">
        <f t="shared" si="20"/>
        <v>2.1527777777777812E-2</v>
      </c>
      <c r="I681" s="10">
        <f t="shared" si="21"/>
        <v>0.53194444444444455</v>
      </c>
      <c r="J681" s="35">
        <f>IF($I$11&gt;Table4[[#This Row],[Working Hours]],$F$6-Table4[[#This Row],[Working Hours]],0)</f>
        <v>0</v>
      </c>
      <c r="K681" s="20" t="s">
        <v>239</v>
      </c>
    </row>
    <row r="682" spans="3:11" x14ac:dyDescent="0.25">
      <c r="C682" s="13" t="s">
        <v>43</v>
      </c>
      <c r="D682" s="8">
        <v>45725</v>
      </c>
      <c r="E682" s="7" t="s">
        <v>22</v>
      </c>
      <c r="F682" s="9">
        <v>0.32222222222222224</v>
      </c>
      <c r="G682" s="9">
        <v>0.98888888888888893</v>
      </c>
      <c r="H682" s="10">
        <f t="shared" si="20"/>
        <v>0</v>
      </c>
      <c r="I682" s="10">
        <f t="shared" si="21"/>
        <v>0.66666666666666674</v>
      </c>
      <c r="J682" s="35">
        <f>IF($I$11&gt;Table4[[#This Row],[Working Hours]],$F$6-Table4[[#This Row],[Working Hours]],0)</f>
        <v>0</v>
      </c>
      <c r="K682" s="20" t="s">
        <v>239</v>
      </c>
    </row>
    <row r="683" spans="3:11" x14ac:dyDescent="0.25">
      <c r="C683" s="13" t="s">
        <v>43</v>
      </c>
      <c r="D683" s="8">
        <v>45726</v>
      </c>
      <c r="E683" s="7" t="s">
        <v>18</v>
      </c>
      <c r="F683" s="9">
        <v>0.41319444444444442</v>
      </c>
      <c r="G683" s="9">
        <v>0.87083333333333324</v>
      </c>
      <c r="H683" s="10">
        <f t="shared" si="20"/>
        <v>7.9861111111111105E-2</v>
      </c>
      <c r="I683" s="10">
        <f t="shared" si="21"/>
        <v>0.45763888888888882</v>
      </c>
      <c r="J683" s="35">
        <f>IF($I$11&gt;Table4[[#This Row],[Working Hours]],$F$6-Table4[[#This Row],[Working Hours]],0)</f>
        <v>0</v>
      </c>
      <c r="K683" s="20" t="s">
        <v>239</v>
      </c>
    </row>
    <row r="684" spans="3:11" x14ac:dyDescent="0.25">
      <c r="C684" s="13" t="s">
        <v>43</v>
      </c>
      <c r="D684" s="8">
        <v>45727</v>
      </c>
      <c r="E684" s="7" t="s">
        <v>19</v>
      </c>
      <c r="F684" s="9">
        <v>0.4548611111111111</v>
      </c>
      <c r="G684" s="9">
        <v>0.94027777777777777</v>
      </c>
      <c r="H684" s="10">
        <f t="shared" si="20"/>
        <v>0.12152777777777779</v>
      </c>
      <c r="I684" s="10">
        <f t="shared" si="21"/>
        <v>0.48541666666666666</v>
      </c>
      <c r="J684" s="35">
        <f>IF($I$11&gt;Table4[[#This Row],[Working Hours]],$F$6-Table4[[#This Row],[Working Hours]],0)</f>
        <v>0</v>
      </c>
      <c r="K684" s="20" t="s">
        <v>239</v>
      </c>
    </row>
    <row r="685" spans="3:11" x14ac:dyDescent="0.25">
      <c r="C685" s="13" t="s">
        <v>43</v>
      </c>
      <c r="D685" s="8">
        <v>45728</v>
      </c>
      <c r="E685" s="7" t="s">
        <v>7</v>
      </c>
      <c r="F685" s="9"/>
      <c r="G685" s="9"/>
      <c r="H685" s="10">
        <f t="shared" si="20"/>
        <v>0</v>
      </c>
      <c r="I685" s="10">
        <f t="shared" si="21"/>
        <v>0</v>
      </c>
      <c r="J685" s="35">
        <f>IF($I$11&gt;Table4[[#This Row],[Working Hours]],$F$6-Table4[[#This Row],[Working Hours]],0)</f>
        <v>0.33333333333333331</v>
      </c>
      <c r="K685" s="20" t="s">
        <v>240</v>
      </c>
    </row>
    <row r="686" spans="3:11" x14ac:dyDescent="0.25">
      <c r="C686" s="13" t="s">
        <v>43</v>
      </c>
      <c r="D686" s="8">
        <v>45729</v>
      </c>
      <c r="E686" s="7" t="s">
        <v>8</v>
      </c>
      <c r="F686" s="9"/>
      <c r="G686" s="9"/>
      <c r="H686" s="10">
        <f t="shared" si="20"/>
        <v>0</v>
      </c>
      <c r="I686" s="10">
        <f t="shared" si="21"/>
        <v>0</v>
      </c>
      <c r="J686" s="35">
        <f>IF($I$11&gt;Table4[[#This Row],[Working Hours]],$F$6-Table4[[#This Row],[Working Hours]],0)</f>
        <v>0.33333333333333331</v>
      </c>
      <c r="K686" s="20" t="s">
        <v>240</v>
      </c>
    </row>
    <row r="687" spans="3:11" x14ac:dyDescent="0.25">
      <c r="C687" s="13" t="s">
        <v>43</v>
      </c>
      <c r="D687" s="8">
        <v>45730</v>
      </c>
      <c r="E687" s="7" t="s">
        <v>20</v>
      </c>
      <c r="F687" s="9"/>
      <c r="G687" s="9"/>
      <c r="H687" s="10">
        <f t="shared" si="20"/>
        <v>0</v>
      </c>
      <c r="I687" s="10">
        <f t="shared" si="21"/>
        <v>0</v>
      </c>
      <c r="J687" s="35">
        <f>IF($I$11&gt;Table4[[#This Row],[Working Hours]],$F$6-Table4[[#This Row],[Working Hours]],0)</f>
        <v>0.33333333333333331</v>
      </c>
      <c r="K687" s="20" t="s">
        <v>70</v>
      </c>
    </row>
    <row r="688" spans="3:11" x14ac:dyDescent="0.25">
      <c r="C688" s="13" t="s">
        <v>43</v>
      </c>
      <c r="D688" s="8">
        <v>45731</v>
      </c>
      <c r="E688" s="7" t="s">
        <v>21</v>
      </c>
      <c r="F688" s="9">
        <v>0.48125000000000001</v>
      </c>
      <c r="G688" s="9">
        <v>0.85069444444444453</v>
      </c>
      <c r="H688" s="10">
        <f t="shared" si="20"/>
        <v>0.1479166666666667</v>
      </c>
      <c r="I688" s="10">
        <f t="shared" si="21"/>
        <v>0.36944444444444452</v>
      </c>
      <c r="J688" s="35">
        <v>0</v>
      </c>
      <c r="K688" s="20" t="s">
        <v>239</v>
      </c>
    </row>
    <row r="689" spans="3:11" x14ac:dyDescent="0.25">
      <c r="C689" s="13" t="s">
        <v>43</v>
      </c>
      <c r="D689" s="8">
        <v>45732</v>
      </c>
      <c r="E689" s="7" t="s">
        <v>22</v>
      </c>
      <c r="F689" s="9">
        <v>0.39513888888888887</v>
      </c>
      <c r="G689" s="9">
        <v>0.86736111111111114</v>
      </c>
      <c r="H689" s="10">
        <f t="shared" si="20"/>
        <v>6.1805555555555558E-2</v>
      </c>
      <c r="I689" s="10">
        <f t="shared" si="21"/>
        <v>0.47222222222222227</v>
      </c>
      <c r="J689" s="35">
        <f>IF($I$11&gt;Table4[[#This Row],[Working Hours]],$F$6-Table4[[#This Row],[Working Hours]],0)</f>
        <v>0</v>
      </c>
      <c r="K689" s="20" t="s">
        <v>239</v>
      </c>
    </row>
    <row r="690" spans="3:11" x14ac:dyDescent="0.25">
      <c r="C690" s="13" t="s">
        <v>43</v>
      </c>
      <c r="D690" s="8">
        <v>45733</v>
      </c>
      <c r="E690" s="7" t="s">
        <v>18</v>
      </c>
      <c r="F690" s="9">
        <v>0.48888888888888887</v>
      </c>
      <c r="G690" s="9">
        <v>0.90138888888888891</v>
      </c>
      <c r="H690" s="10">
        <f t="shared" si="20"/>
        <v>0.15555555555555556</v>
      </c>
      <c r="I690" s="10">
        <f t="shared" si="21"/>
        <v>0.41250000000000003</v>
      </c>
      <c r="J690" s="35">
        <f>IF($I$11&gt;Table4[[#This Row],[Working Hours]],$F$6-Table4[[#This Row],[Working Hours]],0)</f>
        <v>0</v>
      </c>
      <c r="K690" s="20" t="s">
        <v>239</v>
      </c>
    </row>
    <row r="691" spans="3:11" x14ac:dyDescent="0.25">
      <c r="C691" s="13" t="s">
        <v>43</v>
      </c>
      <c r="D691" s="8">
        <v>45734</v>
      </c>
      <c r="E691" s="7" t="s">
        <v>19</v>
      </c>
      <c r="F691" s="9">
        <v>0.36388888888888887</v>
      </c>
      <c r="G691" s="9">
        <v>0.88541666666666663</v>
      </c>
      <c r="H691" s="10">
        <f t="shared" si="20"/>
        <v>3.0555555555555558E-2</v>
      </c>
      <c r="I691" s="10">
        <f t="shared" si="21"/>
        <v>0.52152777777777781</v>
      </c>
      <c r="J691" s="35">
        <f>IF($I$11&gt;Table4[[#This Row],[Working Hours]],$F$6-Table4[[#This Row],[Working Hours]],0)</f>
        <v>0</v>
      </c>
      <c r="K691" s="20" t="s">
        <v>239</v>
      </c>
    </row>
    <row r="692" spans="3:11" x14ac:dyDescent="0.25">
      <c r="C692" s="13" t="s">
        <v>43</v>
      </c>
      <c r="D692" s="8">
        <v>45735</v>
      </c>
      <c r="E692" s="7" t="s">
        <v>7</v>
      </c>
      <c r="F692" s="9"/>
      <c r="G692" s="9"/>
      <c r="H692" s="10">
        <f t="shared" si="20"/>
        <v>0</v>
      </c>
      <c r="I692" s="10">
        <f t="shared" si="21"/>
        <v>0</v>
      </c>
      <c r="J692" s="35">
        <f>IF($I$11&gt;Table4[[#This Row],[Working Hours]],$F$6-Table4[[#This Row],[Working Hours]],0)</f>
        <v>0.33333333333333331</v>
      </c>
      <c r="K692" s="20" t="s">
        <v>240</v>
      </c>
    </row>
    <row r="693" spans="3:11" x14ac:dyDescent="0.25">
      <c r="C693" s="13" t="s">
        <v>43</v>
      </c>
      <c r="D693" s="8">
        <v>45736</v>
      </c>
      <c r="E693" s="7" t="s">
        <v>8</v>
      </c>
      <c r="F693" s="9"/>
      <c r="G693" s="9"/>
      <c r="H693" s="10">
        <f t="shared" si="20"/>
        <v>0</v>
      </c>
      <c r="I693" s="10">
        <f t="shared" si="21"/>
        <v>0</v>
      </c>
      <c r="J693" s="35">
        <f>IF($I$11&gt;Table4[[#This Row],[Working Hours]],$F$6-Table4[[#This Row],[Working Hours]],0)</f>
        <v>0.33333333333333331</v>
      </c>
      <c r="K693" s="20" t="s">
        <v>240</v>
      </c>
    </row>
    <row r="694" spans="3:11" x14ac:dyDescent="0.25">
      <c r="C694" s="13" t="s">
        <v>43</v>
      </c>
      <c r="D694" s="8">
        <v>45737</v>
      </c>
      <c r="E694" s="7" t="s">
        <v>20</v>
      </c>
      <c r="F694" s="9">
        <v>0.43888888888888888</v>
      </c>
      <c r="G694" s="9">
        <v>0.87222222222222223</v>
      </c>
      <c r="H694" s="10">
        <f t="shared" si="20"/>
        <v>0.10555555555555557</v>
      </c>
      <c r="I694" s="10">
        <f t="shared" si="21"/>
        <v>0.43333333333333335</v>
      </c>
      <c r="J694" s="35">
        <f>IF($I$11&gt;Table4[[#This Row],[Working Hours]],$F$6-Table4[[#This Row],[Working Hours]],0)</f>
        <v>0</v>
      </c>
      <c r="K694" s="20" t="s">
        <v>239</v>
      </c>
    </row>
    <row r="695" spans="3:11" x14ac:dyDescent="0.25">
      <c r="C695" s="13" t="s">
        <v>43</v>
      </c>
      <c r="D695" s="8">
        <v>45738</v>
      </c>
      <c r="E695" s="7" t="s">
        <v>21</v>
      </c>
      <c r="F695" s="9">
        <v>0.36458333333333331</v>
      </c>
      <c r="G695" s="9">
        <v>0.86736111111111114</v>
      </c>
      <c r="H695" s="10">
        <f t="shared" si="20"/>
        <v>3.125E-2</v>
      </c>
      <c r="I695" s="10">
        <f t="shared" si="21"/>
        <v>0.50277777777777777</v>
      </c>
      <c r="J695" s="35">
        <f>IF($I$11&gt;Table4[[#This Row],[Working Hours]],$F$6-Table4[[#This Row],[Working Hours]],0)</f>
        <v>0</v>
      </c>
      <c r="K695" s="20" t="s">
        <v>239</v>
      </c>
    </row>
    <row r="696" spans="3:11" x14ac:dyDescent="0.25">
      <c r="C696" s="13" t="s">
        <v>43</v>
      </c>
      <c r="D696" s="8">
        <v>45739</v>
      </c>
      <c r="E696" s="7" t="s">
        <v>22</v>
      </c>
      <c r="F696" s="9">
        <v>0.44027777777777777</v>
      </c>
      <c r="G696" s="9">
        <v>0.85833333333333339</v>
      </c>
      <c r="H696" s="10">
        <f t="shared" si="20"/>
        <v>0.10694444444444445</v>
      </c>
      <c r="I696" s="10">
        <f t="shared" si="21"/>
        <v>0.41805555555555562</v>
      </c>
      <c r="J696" s="35">
        <f>IF($I$11&gt;Table4[[#This Row],[Working Hours]],$F$6-Table4[[#This Row],[Working Hours]],0)</f>
        <v>0</v>
      </c>
      <c r="K696" s="20" t="s">
        <v>239</v>
      </c>
    </row>
    <row r="697" spans="3:11" x14ac:dyDescent="0.25">
      <c r="C697" s="13" t="s">
        <v>43</v>
      </c>
      <c r="D697" s="8">
        <v>45740</v>
      </c>
      <c r="E697" s="7" t="s">
        <v>18</v>
      </c>
      <c r="F697" s="9">
        <v>0.2951388888888889</v>
      </c>
      <c r="G697" s="9">
        <v>0.99791666666666667</v>
      </c>
      <c r="H697" s="10">
        <f t="shared" si="20"/>
        <v>0</v>
      </c>
      <c r="I697" s="10">
        <f t="shared" si="21"/>
        <v>0.70277777777777772</v>
      </c>
      <c r="J697" s="35">
        <f>IF($I$11&gt;Table4[[#This Row],[Working Hours]],$F$6-Table4[[#This Row],[Working Hours]],0)</f>
        <v>0</v>
      </c>
      <c r="K697" s="20" t="s">
        <v>239</v>
      </c>
    </row>
    <row r="698" spans="3:11" x14ac:dyDescent="0.25">
      <c r="C698" s="13" t="s">
        <v>43</v>
      </c>
      <c r="D698" s="8">
        <v>45741</v>
      </c>
      <c r="E698" s="7" t="s">
        <v>19</v>
      </c>
      <c r="F698" s="9">
        <v>0.34930555555555554</v>
      </c>
      <c r="G698" s="9">
        <v>0.87152777777777779</v>
      </c>
      <c r="H698" s="10">
        <f t="shared" si="20"/>
        <v>1.5972222222222221E-2</v>
      </c>
      <c r="I698" s="10">
        <f t="shared" si="21"/>
        <v>0.52222222222222225</v>
      </c>
      <c r="J698" s="35">
        <f>IF($I$11&gt;Table4[[#This Row],[Working Hours]],$F$6-Table4[[#This Row],[Working Hours]],0)</f>
        <v>0</v>
      </c>
      <c r="K698" s="20" t="s">
        <v>239</v>
      </c>
    </row>
    <row r="699" spans="3:11" x14ac:dyDescent="0.25">
      <c r="C699" s="13" t="s">
        <v>43</v>
      </c>
      <c r="D699" s="8">
        <v>45742</v>
      </c>
      <c r="E699" s="7" t="s">
        <v>7</v>
      </c>
      <c r="F699" s="9"/>
      <c r="G699" s="9"/>
      <c r="H699" s="10">
        <f t="shared" si="20"/>
        <v>0</v>
      </c>
      <c r="I699" s="10">
        <f t="shared" si="21"/>
        <v>0</v>
      </c>
      <c r="J699" s="35">
        <f>IF($I$11&gt;Table4[[#This Row],[Working Hours]],$F$6-Table4[[#This Row],[Working Hours]],0)</f>
        <v>0.33333333333333331</v>
      </c>
      <c r="K699" s="20" t="s">
        <v>240</v>
      </c>
    </row>
    <row r="700" spans="3:11" x14ac:dyDescent="0.25">
      <c r="C700" s="13" t="s">
        <v>43</v>
      </c>
      <c r="D700" s="8">
        <v>45743</v>
      </c>
      <c r="E700" s="7" t="s">
        <v>8</v>
      </c>
      <c r="F700" s="9"/>
      <c r="G700" s="9"/>
      <c r="H700" s="10">
        <f t="shared" si="20"/>
        <v>0</v>
      </c>
      <c r="I700" s="10">
        <f t="shared" si="21"/>
        <v>0</v>
      </c>
      <c r="J700" s="35">
        <f>IF($I$11&gt;Table4[[#This Row],[Working Hours]],$F$6-Table4[[#This Row],[Working Hours]],0)</f>
        <v>0.33333333333333331</v>
      </c>
      <c r="K700" s="20" t="s">
        <v>240</v>
      </c>
    </row>
    <row r="701" spans="3:11" x14ac:dyDescent="0.25">
      <c r="C701" s="13" t="s">
        <v>43</v>
      </c>
      <c r="D701" s="8">
        <v>45744</v>
      </c>
      <c r="E701" s="7" t="s">
        <v>20</v>
      </c>
      <c r="F701" s="9">
        <v>0.47361111111111115</v>
      </c>
      <c r="G701" s="9">
        <v>0.9277777777777777</v>
      </c>
      <c r="H701" s="10">
        <f t="shared" si="20"/>
        <v>0.14027777777777783</v>
      </c>
      <c r="I701" s="10">
        <f t="shared" si="21"/>
        <v>0.45416666666666655</v>
      </c>
      <c r="J701" s="35">
        <f>IF($I$11&gt;Table4[[#This Row],[Working Hours]],$F$6-Table4[[#This Row],[Working Hours]],0)</f>
        <v>0</v>
      </c>
      <c r="K701" s="20" t="s">
        <v>239</v>
      </c>
    </row>
    <row r="702" spans="3:11" x14ac:dyDescent="0.25">
      <c r="C702" s="13" t="s">
        <v>43</v>
      </c>
      <c r="D702" s="8">
        <v>45745</v>
      </c>
      <c r="E702" s="7" t="s">
        <v>21</v>
      </c>
      <c r="F702" s="9">
        <v>0.3659722222222222</v>
      </c>
      <c r="G702" s="9">
        <v>0.87222222222222223</v>
      </c>
      <c r="H702" s="10">
        <f t="shared" si="20"/>
        <v>3.2638888888888884E-2</v>
      </c>
      <c r="I702" s="10">
        <f t="shared" si="21"/>
        <v>0.50625000000000009</v>
      </c>
      <c r="J702" s="35">
        <f>IF($I$11&gt;Table4[[#This Row],[Working Hours]],$F$6-Table4[[#This Row],[Working Hours]],0)</f>
        <v>0</v>
      </c>
      <c r="K702" s="20" t="s">
        <v>239</v>
      </c>
    </row>
    <row r="703" spans="3:11" x14ac:dyDescent="0.25">
      <c r="C703" s="13" t="s">
        <v>43</v>
      </c>
      <c r="D703" s="8">
        <v>45746</v>
      </c>
      <c r="E703" s="7" t="s">
        <v>22</v>
      </c>
      <c r="F703" s="9">
        <v>0.35972222222222222</v>
      </c>
      <c r="G703" s="9">
        <v>0.99722222222222223</v>
      </c>
      <c r="H703" s="10">
        <f t="shared" si="20"/>
        <v>2.6388888888888906E-2</v>
      </c>
      <c r="I703" s="10">
        <f t="shared" si="21"/>
        <v>0.63749999999999996</v>
      </c>
      <c r="J703" s="35">
        <f>IF($I$11&gt;Table4[[#This Row],[Working Hours]],$F$6-Table4[[#This Row],[Working Hours]],0)</f>
        <v>0</v>
      </c>
      <c r="K703" s="20" t="s">
        <v>239</v>
      </c>
    </row>
    <row r="704" spans="3:11" x14ac:dyDescent="0.25">
      <c r="C704" s="13" t="s">
        <v>43</v>
      </c>
      <c r="D704" s="8">
        <v>45747</v>
      </c>
      <c r="E704" s="7" t="s">
        <v>18</v>
      </c>
      <c r="F704" s="9">
        <v>0.32916666666666666</v>
      </c>
      <c r="G704" s="9">
        <v>0.98055555555555562</v>
      </c>
      <c r="H704" s="10">
        <f t="shared" si="20"/>
        <v>0</v>
      </c>
      <c r="I704" s="10">
        <f t="shared" si="21"/>
        <v>0.65138888888888902</v>
      </c>
      <c r="J704" s="35">
        <f>IF($I$11&gt;Table4[[#This Row],[Working Hours]],$F$6-Table4[[#This Row],[Working Hours]],0)</f>
        <v>0</v>
      </c>
      <c r="K704" s="20" t="s">
        <v>239</v>
      </c>
    </row>
    <row r="705" spans="3:11" x14ac:dyDescent="0.25">
      <c r="C705" s="13" t="s">
        <v>43</v>
      </c>
      <c r="D705" s="8">
        <v>45748</v>
      </c>
      <c r="E705" s="7" t="s">
        <v>19</v>
      </c>
      <c r="F705" s="9">
        <v>0.3125</v>
      </c>
      <c r="G705" s="9">
        <v>0.94027777777777777</v>
      </c>
      <c r="H705" s="10">
        <f t="shared" si="20"/>
        <v>0</v>
      </c>
      <c r="I705" s="10">
        <f t="shared" si="21"/>
        <v>0.62777777777777777</v>
      </c>
      <c r="J705" s="35">
        <f>IF($I$11&gt;Table4[[#This Row],[Working Hours]],$F$6-Table4[[#This Row],[Working Hours]],0)</f>
        <v>0</v>
      </c>
      <c r="K705" s="20" t="s">
        <v>239</v>
      </c>
    </row>
    <row r="706" spans="3:11" x14ac:dyDescent="0.25">
      <c r="C706" s="13" t="s">
        <v>43</v>
      </c>
      <c r="D706" s="8">
        <v>45749</v>
      </c>
      <c r="E706" s="7" t="s">
        <v>7</v>
      </c>
      <c r="F706" s="9"/>
      <c r="G706" s="9"/>
      <c r="H706" s="10">
        <f t="shared" si="20"/>
        <v>0</v>
      </c>
      <c r="I706" s="10">
        <f t="shared" si="21"/>
        <v>0</v>
      </c>
      <c r="J706" s="35">
        <f>IF($I$11&gt;Table4[[#This Row],[Working Hours]],$F$6-Table4[[#This Row],[Working Hours]],0)</f>
        <v>0.33333333333333331</v>
      </c>
      <c r="K706" s="20" t="s">
        <v>240</v>
      </c>
    </row>
    <row r="707" spans="3:11" x14ac:dyDescent="0.25">
      <c r="C707" s="13" t="s">
        <v>43</v>
      </c>
      <c r="D707" s="8">
        <v>45750</v>
      </c>
      <c r="E707" s="7" t="s">
        <v>8</v>
      </c>
      <c r="F707" s="9"/>
      <c r="G707" s="9"/>
      <c r="H707" s="10">
        <f t="shared" si="20"/>
        <v>0</v>
      </c>
      <c r="I707" s="10">
        <f t="shared" si="21"/>
        <v>0</v>
      </c>
      <c r="J707" s="35">
        <f>IF($I$11&gt;Table4[[#This Row],[Working Hours]],$F$6-Table4[[#This Row],[Working Hours]],0)</f>
        <v>0.33333333333333331</v>
      </c>
      <c r="K707" s="20" t="s">
        <v>240</v>
      </c>
    </row>
    <row r="708" spans="3:11" x14ac:dyDescent="0.25">
      <c r="C708" s="13" t="s">
        <v>43</v>
      </c>
      <c r="D708" s="8">
        <v>45751</v>
      </c>
      <c r="E708" s="7" t="s">
        <v>20</v>
      </c>
      <c r="F708" s="9">
        <v>0.42569444444444443</v>
      </c>
      <c r="G708" s="9">
        <v>0.8618055555555556</v>
      </c>
      <c r="H708" s="10">
        <f t="shared" si="20"/>
        <v>9.2361111111111116E-2</v>
      </c>
      <c r="I708" s="10">
        <f t="shared" si="21"/>
        <v>0.43611111111111117</v>
      </c>
      <c r="J708" s="35">
        <f>IF($I$11&gt;Table4[[#This Row],[Working Hours]],$F$6-Table4[[#This Row],[Working Hours]],0)</f>
        <v>0</v>
      </c>
      <c r="K708" s="20" t="s">
        <v>239</v>
      </c>
    </row>
    <row r="709" spans="3:11" x14ac:dyDescent="0.25">
      <c r="C709" s="13" t="s">
        <v>43</v>
      </c>
      <c r="D709" s="8">
        <v>45752</v>
      </c>
      <c r="E709" s="7" t="s">
        <v>21</v>
      </c>
      <c r="F709" s="9">
        <v>0.3888888888888889</v>
      </c>
      <c r="G709" s="9">
        <v>0.98888888888888893</v>
      </c>
      <c r="H709" s="10">
        <f t="shared" si="20"/>
        <v>5.555555555555558E-2</v>
      </c>
      <c r="I709" s="10">
        <f t="shared" si="21"/>
        <v>0.60000000000000009</v>
      </c>
      <c r="J709" s="35">
        <f>IF($I$11&gt;Table4[[#This Row],[Working Hours]],$F$6-Table4[[#This Row],[Working Hours]],0)</f>
        <v>0</v>
      </c>
      <c r="K709" s="20" t="s">
        <v>239</v>
      </c>
    </row>
    <row r="710" spans="3:11" x14ac:dyDescent="0.25">
      <c r="C710" s="13" t="s">
        <v>43</v>
      </c>
      <c r="D710" s="8">
        <v>45753</v>
      </c>
      <c r="E710" s="7" t="s">
        <v>22</v>
      </c>
      <c r="F710" s="9">
        <v>0.4597222222222222</v>
      </c>
      <c r="G710" s="9">
        <v>0.85555555555555562</v>
      </c>
      <c r="H710" s="10">
        <f t="shared" si="20"/>
        <v>0.12638888888888888</v>
      </c>
      <c r="I710" s="10">
        <f t="shared" si="21"/>
        <v>0.39583333333333343</v>
      </c>
      <c r="J710" s="35">
        <f>IF($I$11&gt;Table4[[#This Row],[Working Hours]],$F$6-Table4[[#This Row],[Working Hours]],0)</f>
        <v>0</v>
      </c>
      <c r="K710" s="20" t="s">
        <v>239</v>
      </c>
    </row>
    <row r="711" spans="3:11" x14ac:dyDescent="0.25">
      <c r="C711" s="13" t="s">
        <v>43</v>
      </c>
      <c r="D711" s="8">
        <v>45754</v>
      </c>
      <c r="E711" s="7" t="s">
        <v>18</v>
      </c>
      <c r="F711" s="9">
        <v>0.44722222222222219</v>
      </c>
      <c r="G711" s="9">
        <v>0.85277777777777775</v>
      </c>
      <c r="H711" s="10">
        <f t="shared" si="20"/>
        <v>0.11388888888888887</v>
      </c>
      <c r="I711" s="10">
        <f t="shared" si="21"/>
        <v>0.40555555555555556</v>
      </c>
      <c r="J711" s="35">
        <f>IF($I$11&gt;Table4[[#This Row],[Working Hours]],$F$6-Table4[[#This Row],[Working Hours]],0)</f>
        <v>0</v>
      </c>
      <c r="K711" s="20" t="s">
        <v>239</v>
      </c>
    </row>
    <row r="712" spans="3:11" x14ac:dyDescent="0.25">
      <c r="C712" s="13" t="s">
        <v>43</v>
      </c>
      <c r="D712" s="8">
        <v>45755</v>
      </c>
      <c r="E712" s="7" t="s">
        <v>19</v>
      </c>
      <c r="F712" s="9">
        <v>0.35416666666666669</v>
      </c>
      <c r="G712" s="9">
        <v>0.98263888888888884</v>
      </c>
      <c r="H712" s="10">
        <f t="shared" si="20"/>
        <v>2.083333333333337E-2</v>
      </c>
      <c r="I712" s="10">
        <f t="shared" si="21"/>
        <v>0.6284722222222221</v>
      </c>
      <c r="J712" s="35">
        <f>IF($I$11&gt;Table4[[#This Row],[Working Hours]],$F$6-Table4[[#This Row],[Working Hours]],0)</f>
        <v>0</v>
      </c>
      <c r="K712" s="20" t="s">
        <v>239</v>
      </c>
    </row>
    <row r="713" spans="3:11" x14ac:dyDescent="0.25">
      <c r="C713" s="13" t="s">
        <v>43</v>
      </c>
      <c r="D713" s="8">
        <v>45756</v>
      </c>
      <c r="E713" s="7" t="s">
        <v>7</v>
      </c>
      <c r="F713" s="9"/>
      <c r="G713" s="9"/>
      <c r="H713" s="10">
        <f t="shared" si="20"/>
        <v>0</v>
      </c>
      <c r="I713" s="10">
        <f t="shared" si="21"/>
        <v>0</v>
      </c>
      <c r="J713" s="35">
        <f>IF($I$11&gt;Table4[[#This Row],[Working Hours]],$F$6-Table4[[#This Row],[Working Hours]],0)</f>
        <v>0.33333333333333331</v>
      </c>
      <c r="K713" s="20" t="s">
        <v>240</v>
      </c>
    </row>
    <row r="714" spans="3:11" x14ac:dyDescent="0.25">
      <c r="C714" s="13" t="s">
        <v>43</v>
      </c>
      <c r="D714" s="8">
        <v>45757</v>
      </c>
      <c r="E714" s="7" t="s">
        <v>8</v>
      </c>
      <c r="F714" s="9"/>
      <c r="G714" s="9"/>
      <c r="H714" s="10">
        <f t="shared" si="20"/>
        <v>0</v>
      </c>
      <c r="I714" s="10">
        <f t="shared" si="21"/>
        <v>0</v>
      </c>
      <c r="J714" s="35">
        <f>IF($I$11&gt;Table4[[#This Row],[Working Hours]],$F$6-Table4[[#This Row],[Working Hours]],0)</f>
        <v>0.33333333333333331</v>
      </c>
      <c r="K714" s="20" t="s">
        <v>240</v>
      </c>
    </row>
    <row r="715" spans="3:11" x14ac:dyDescent="0.25">
      <c r="C715" s="13" t="s">
        <v>43</v>
      </c>
      <c r="D715" s="8">
        <v>45758</v>
      </c>
      <c r="E715" s="7" t="s">
        <v>20</v>
      </c>
      <c r="F715" s="9">
        <v>0.46458333333333335</v>
      </c>
      <c r="G715" s="9">
        <v>0.95486111111111116</v>
      </c>
      <c r="H715" s="10">
        <f t="shared" si="20"/>
        <v>0.13125000000000003</v>
      </c>
      <c r="I715" s="10">
        <f t="shared" si="21"/>
        <v>0.49027777777777781</v>
      </c>
      <c r="J715" s="35">
        <f>IF($I$11&gt;Table4[[#This Row],[Working Hours]],$F$6-Table4[[#This Row],[Working Hours]],0)</f>
        <v>0</v>
      </c>
      <c r="K715" s="20" t="s">
        <v>239</v>
      </c>
    </row>
    <row r="716" spans="3:11" x14ac:dyDescent="0.25">
      <c r="C716" s="13" t="s">
        <v>43</v>
      </c>
      <c r="D716" s="8">
        <v>45759</v>
      </c>
      <c r="E716" s="7" t="s">
        <v>21</v>
      </c>
      <c r="F716" s="9">
        <v>0.38194444444444442</v>
      </c>
      <c r="G716" s="9">
        <v>0.95486111111111116</v>
      </c>
      <c r="H716" s="10">
        <f t="shared" ref="H716:H779" si="22">IF($F716&gt;$F$6,$F716-$F$6,0)</f>
        <v>4.8611111111111105E-2</v>
      </c>
      <c r="I716" s="10">
        <f t="shared" ref="I716:I779" si="23">$G716-$F716</f>
        <v>0.57291666666666674</v>
      </c>
      <c r="J716" s="35">
        <f>IF($I$11&gt;Table4[[#This Row],[Working Hours]],$F$6-Table4[[#This Row],[Working Hours]],0)</f>
        <v>0</v>
      </c>
      <c r="K716" s="20" t="s">
        <v>239</v>
      </c>
    </row>
    <row r="717" spans="3:11" x14ac:dyDescent="0.25">
      <c r="C717" s="13" t="s">
        <v>43</v>
      </c>
      <c r="D717" s="8">
        <v>45760</v>
      </c>
      <c r="E717" s="7" t="s">
        <v>22</v>
      </c>
      <c r="F717" s="9">
        <v>0.42708333333333331</v>
      </c>
      <c r="G717" s="9">
        <v>0.98402777777777783</v>
      </c>
      <c r="H717" s="10">
        <f t="shared" si="22"/>
        <v>9.375E-2</v>
      </c>
      <c r="I717" s="10">
        <f t="shared" si="23"/>
        <v>0.55694444444444446</v>
      </c>
      <c r="J717" s="35">
        <f>IF($I$11&gt;Table4[[#This Row],[Working Hours]],$F$6-Table4[[#This Row],[Working Hours]],0)</f>
        <v>0</v>
      </c>
      <c r="K717" s="20" t="s">
        <v>239</v>
      </c>
    </row>
    <row r="718" spans="3:11" x14ac:dyDescent="0.25">
      <c r="C718" s="13" t="s">
        <v>43</v>
      </c>
      <c r="D718" s="8">
        <v>45761</v>
      </c>
      <c r="E718" s="7" t="s">
        <v>18</v>
      </c>
      <c r="F718" s="9">
        <v>0.44166666666666665</v>
      </c>
      <c r="G718" s="9">
        <v>0.88680555555555562</v>
      </c>
      <c r="H718" s="10">
        <f t="shared" si="22"/>
        <v>0.10833333333333334</v>
      </c>
      <c r="I718" s="10">
        <f t="shared" si="23"/>
        <v>0.44513888888888897</v>
      </c>
      <c r="J718" s="35">
        <f>IF($I$11&gt;Table4[[#This Row],[Working Hours]],$F$6-Table4[[#This Row],[Working Hours]],0)</f>
        <v>0</v>
      </c>
      <c r="K718" s="20" t="s">
        <v>239</v>
      </c>
    </row>
    <row r="719" spans="3:11" x14ac:dyDescent="0.25">
      <c r="C719" s="13" t="s">
        <v>43</v>
      </c>
      <c r="D719" s="8">
        <v>45762</v>
      </c>
      <c r="E719" s="7" t="s">
        <v>19</v>
      </c>
      <c r="F719" s="9">
        <v>0.40902777777777777</v>
      </c>
      <c r="G719" s="9">
        <v>0.9868055555555556</v>
      </c>
      <c r="H719" s="10">
        <f t="shared" si="22"/>
        <v>7.5694444444444453E-2</v>
      </c>
      <c r="I719" s="10">
        <f t="shared" si="23"/>
        <v>0.57777777777777783</v>
      </c>
      <c r="J719" s="35">
        <f>IF($I$11&gt;Table4[[#This Row],[Working Hours]],$F$6-Table4[[#This Row],[Working Hours]],0)</f>
        <v>0</v>
      </c>
      <c r="K719" s="20" t="s">
        <v>239</v>
      </c>
    </row>
    <row r="720" spans="3:11" x14ac:dyDescent="0.25">
      <c r="C720" s="13" t="s">
        <v>43</v>
      </c>
      <c r="D720" s="8">
        <v>45763</v>
      </c>
      <c r="E720" s="7" t="s">
        <v>7</v>
      </c>
      <c r="F720" s="9"/>
      <c r="G720" s="9"/>
      <c r="H720" s="10">
        <f t="shared" si="22"/>
        <v>0</v>
      </c>
      <c r="I720" s="10">
        <f t="shared" si="23"/>
        <v>0</v>
      </c>
      <c r="J720" s="35">
        <f>IF($I$11&gt;Table4[[#This Row],[Working Hours]],$F$6-Table4[[#This Row],[Working Hours]],0)</f>
        <v>0.33333333333333331</v>
      </c>
      <c r="K720" s="20" t="s">
        <v>240</v>
      </c>
    </row>
    <row r="721" spans="3:11" x14ac:dyDescent="0.25">
      <c r="C721" s="13" t="s">
        <v>43</v>
      </c>
      <c r="D721" s="8">
        <v>45764</v>
      </c>
      <c r="E721" s="7" t="s">
        <v>8</v>
      </c>
      <c r="F721" s="9"/>
      <c r="G721" s="9"/>
      <c r="H721" s="10">
        <f t="shared" si="22"/>
        <v>0</v>
      </c>
      <c r="I721" s="10">
        <f t="shared" si="23"/>
        <v>0</v>
      </c>
      <c r="J721" s="35">
        <f>IF($I$11&gt;Table4[[#This Row],[Working Hours]],$F$6-Table4[[#This Row],[Working Hours]],0)</f>
        <v>0.33333333333333331</v>
      </c>
      <c r="K721" s="20" t="s">
        <v>240</v>
      </c>
    </row>
    <row r="722" spans="3:11" x14ac:dyDescent="0.25">
      <c r="C722" s="13" t="s">
        <v>43</v>
      </c>
      <c r="D722" s="8">
        <v>45765</v>
      </c>
      <c r="E722" s="7" t="s">
        <v>20</v>
      </c>
      <c r="F722" s="9">
        <v>0.38263888888888892</v>
      </c>
      <c r="G722" s="9">
        <v>0.93611111111111101</v>
      </c>
      <c r="H722" s="10">
        <f t="shared" si="22"/>
        <v>4.9305555555555602E-2</v>
      </c>
      <c r="I722" s="10">
        <f t="shared" si="23"/>
        <v>0.55347222222222214</v>
      </c>
      <c r="J722" s="35">
        <f>IF($I$11&gt;Table4[[#This Row],[Working Hours]],$F$6-Table4[[#This Row],[Working Hours]],0)</f>
        <v>0</v>
      </c>
      <c r="K722" s="20" t="s">
        <v>239</v>
      </c>
    </row>
    <row r="723" spans="3:11" x14ac:dyDescent="0.25">
      <c r="C723" s="13" t="s">
        <v>43</v>
      </c>
      <c r="D723" s="8">
        <v>45766</v>
      </c>
      <c r="E723" s="7" t="s">
        <v>21</v>
      </c>
      <c r="F723" s="9">
        <v>0.48194444444444445</v>
      </c>
      <c r="G723" s="9">
        <v>0.95486111111111116</v>
      </c>
      <c r="H723" s="10">
        <f t="shared" si="22"/>
        <v>0.14861111111111114</v>
      </c>
      <c r="I723" s="10">
        <f t="shared" si="23"/>
        <v>0.47291666666666671</v>
      </c>
      <c r="J723" s="35">
        <f>IF($I$11&gt;Table4[[#This Row],[Working Hours]],$F$6-Table4[[#This Row],[Working Hours]],0)</f>
        <v>0</v>
      </c>
      <c r="K723" s="20" t="s">
        <v>239</v>
      </c>
    </row>
    <row r="724" spans="3:11" x14ac:dyDescent="0.25">
      <c r="C724" s="13" t="s">
        <v>43</v>
      </c>
      <c r="D724" s="8">
        <v>45767</v>
      </c>
      <c r="E724" s="7" t="s">
        <v>22</v>
      </c>
      <c r="F724" s="9">
        <v>0.48749999999999999</v>
      </c>
      <c r="G724" s="9">
        <v>0.98749999999999993</v>
      </c>
      <c r="H724" s="10">
        <f t="shared" si="22"/>
        <v>0.15416666666666667</v>
      </c>
      <c r="I724" s="10">
        <f t="shared" si="23"/>
        <v>0.49999999999999994</v>
      </c>
      <c r="J724" s="35">
        <f>IF($I$11&gt;Table4[[#This Row],[Working Hours]],$F$6-Table4[[#This Row],[Working Hours]],0)</f>
        <v>0</v>
      </c>
      <c r="K724" s="20" t="s">
        <v>239</v>
      </c>
    </row>
    <row r="725" spans="3:11" x14ac:dyDescent="0.25">
      <c r="C725" s="13" t="s">
        <v>43</v>
      </c>
      <c r="D725" s="8">
        <v>45768</v>
      </c>
      <c r="E725" s="7" t="s">
        <v>18</v>
      </c>
      <c r="F725" s="9">
        <v>0.40833333333333338</v>
      </c>
      <c r="G725" s="9">
        <v>0.92986111111111114</v>
      </c>
      <c r="H725" s="10">
        <f t="shared" si="22"/>
        <v>7.5000000000000067E-2</v>
      </c>
      <c r="I725" s="10">
        <f t="shared" si="23"/>
        <v>0.52152777777777781</v>
      </c>
      <c r="J725" s="35">
        <f>IF($I$11&gt;Table4[[#This Row],[Working Hours]],$F$6-Table4[[#This Row],[Working Hours]],0)</f>
        <v>0</v>
      </c>
      <c r="K725" s="20" t="s">
        <v>239</v>
      </c>
    </row>
    <row r="726" spans="3:11" x14ac:dyDescent="0.25">
      <c r="C726" s="13" t="s">
        <v>43</v>
      </c>
      <c r="D726" s="8">
        <v>45769</v>
      </c>
      <c r="E726" s="7" t="s">
        <v>19</v>
      </c>
      <c r="F726" s="9">
        <v>0.43958333333333338</v>
      </c>
      <c r="G726" s="9">
        <v>0.85972222222222217</v>
      </c>
      <c r="H726" s="10">
        <f t="shared" si="22"/>
        <v>0.10625000000000007</v>
      </c>
      <c r="I726" s="10">
        <f t="shared" si="23"/>
        <v>0.42013888888888878</v>
      </c>
      <c r="J726" s="35">
        <f>IF($I$11&gt;Table4[[#This Row],[Working Hours]],$F$6-Table4[[#This Row],[Working Hours]],0)</f>
        <v>0</v>
      </c>
      <c r="K726" s="20" t="s">
        <v>239</v>
      </c>
    </row>
    <row r="727" spans="3:11" x14ac:dyDescent="0.25">
      <c r="C727" s="13" t="s">
        <v>43</v>
      </c>
      <c r="D727" s="8">
        <v>45770</v>
      </c>
      <c r="E727" s="7" t="s">
        <v>7</v>
      </c>
      <c r="F727" s="9"/>
      <c r="G727" s="9"/>
      <c r="H727" s="10">
        <f t="shared" si="22"/>
        <v>0</v>
      </c>
      <c r="I727" s="10">
        <f t="shared" si="23"/>
        <v>0</v>
      </c>
      <c r="J727" s="35">
        <f>IF($I$11&gt;Table4[[#This Row],[Working Hours]],$F$6-Table4[[#This Row],[Working Hours]],0)</f>
        <v>0.33333333333333331</v>
      </c>
      <c r="K727" s="20" t="s">
        <v>240</v>
      </c>
    </row>
    <row r="728" spans="3:11" x14ac:dyDescent="0.25">
      <c r="C728" s="13" t="s">
        <v>43</v>
      </c>
      <c r="D728" s="8">
        <v>45771</v>
      </c>
      <c r="E728" s="7" t="s">
        <v>8</v>
      </c>
      <c r="F728" s="9"/>
      <c r="G728" s="9"/>
      <c r="H728" s="10">
        <f t="shared" si="22"/>
        <v>0</v>
      </c>
      <c r="I728" s="10">
        <f t="shared" si="23"/>
        <v>0</v>
      </c>
      <c r="J728" s="35">
        <f>IF($I$11&gt;Table4[[#This Row],[Working Hours]],$F$6-Table4[[#This Row],[Working Hours]],0)</f>
        <v>0.33333333333333331</v>
      </c>
      <c r="K728" s="20" t="s">
        <v>240</v>
      </c>
    </row>
    <row r="729" spans="3:11" x14ac:dyDescent="0.25">
      <c r="C729" s="13" t="s">
        <v>43</v>
      </c>
      <c r="D729" s="8">
        <v>45772</v>
      </c>
      <c r="E729" s="7" t="s">
        <v>20</v>
      </c>
      <c r="F729" s="9">
        <v>0.35625000000000001</v>
      </c>
      <c r="G729" s="9">
        <v>0.87013888888888891</v>
      </c>
      <c r="H729" s="10">
        <f t="shared" si="22"/>
        <v>2.2916666666666696E-2</v>
      </c>
      <c r="I729" s="10">
        <f t="shared" si="23"/>
        <v>0.51388888888888884</v>
      </c>
      <c r="J729" s="35">
        <f>IF($I$11&gt;Table4[[#This Row],[Working Hours]],$F$6-Table4[[#This Row],[Working Hours]],0)</f>
        <v>0</v>
      </c>
      <c r="K729" s="20" t="s">
        <v>239</v>
      </c>
    </row>
    <row r="730" spans="3:11" x14ac:dyDescent="0.25">
      <c r="C730" s="13" t="s">
        <v>43</v>
      </c>
      <c r="D730" s="8">
        <v>45773</v>
      </c>
      <c r="E730" s="7" t="s">
        <v>21</v>
      </c>
      <c r="F730" s="9">
        <v>0.42986111111111108</v>
      </c>
      <c r="G730" s="9">
        <v>0.98125000000000007</v>
      </c>
      <c r="H730" s="10">
        <f t="shared" si="22"/>
        <v>9.6527777777777768E-2</v>
      </c>
      <c r="I730" s="10">
        <f t="shared" si="23"/>
        <v>0.55138888888888893</v>
      </c>
      <c r="J730" s="35">
        <f>IF($I$11&gt;Table4[[#This Row],[Working Hours]],$F$6-Table4[[#This Row],[Working Hours]],0)</f>
        <v>0</v>
      </c>
      <c r="K730" s="20" t="s">
        <v>239</v>
      </c>
    </row>
    <row r="731" spans="3:11" x14ac:dyDescent="0.25">
      <c r="C731" s="13" t="s">
        <v>43</v>
      </c>
      <c r="D731" s="8">
        <v>45774</v>
      </c>
      <c r="E731" s="7" t="s">
        <v>22</v>
      </c>
      <c r="F731" s="9">
        <v>0.37291666666666662</v>
      </c>
      <c r="G731" s="9">
        <v>0.90555555555555556</v>
      </c>
      <c r="H731" s="10">
        <f t="shared" si="22"/>
        <v>3.9583333333333304E-2</v>
      </c>
      <c r="I731" s="10">
        <f t="shared" si="23"/>
        <v>0.53263888888888888</v>
      </c>
      <c r="J731" s="35">
        <f>IF($I$11&gt;Table4[[#This Row],[Working Hours]],$F$6-Table4[[#This Row],[Working Hours]],0)</f>
        <v>0</v>
      </c>
      <c r="K731" s="20" t="s">
        <v>239</v>
      </c>
    </row>
    <row r="732" spans="3:11" x14ac:dyDescent="0.25">
      <c r="C732" s="13" t="s">
        <v>43</v>
      </c>
      <c r="D732" s="8">
        <v>45775</v>
      </c>
      <c r="E732" s="7" t="s">
        <v>18</v>
      </c>
      <c r="F732" s="9">
        <v>0.44375000000000003</v>
      </c>
      <c r="G732" s="9">
        <v>0.89027777777777783</v>
      </c>
      <c r="H732" s="10">
        <f t="shared" si="22"/>
        <v>0.11041666666666672</v>
      </c>
      <c r="I732" s="10">
        <f t="shared" si="23"/>
        <v>0.4465277777777778</v>
      </c>
      <c r="J732" s="35">
        <f>IF($I$11&gt;Table4[[#This Row],[Working Hours]],$F$6-Table4[[#This Row],[Working Hours]],0)</f>
        <v>0</v>
      </c>
      <c r="K732" s="20" t="s">
        <v>239</v>
      </c>
    </row>
    <row r="733" spans="3:11" x14ac:dyDescent="0.25">
      <c r="C733" s="13" t="s">
        <v>43</v>
      </c>
      <c r="D733" s="8">
        <v>45776</v>
      </c>
      <c r="E733" s="7" t="s">
        <v>19</v>
      </c>
      <c r="F733" s="9">
        <v>0.40833333333333338</v>
      </c>
      <c r="G733" s="9">
        <v>0.94652777777777775</v>
      </c>
      <c r="H733" s="10">
        <f t="shared" si="22"/>
        <v>7.5000000000000067E-2</v>
      </c>
      <c r="I733" s="10">
        <f t="shared" si="23"/>
        <v>0.53819444444444442</v>
      </c>
      <c r="J733" s="35">
        <f>IF($I$11&gt;Table4[[#This Row],[Working Hours]],$F$6-Table4[[#This Row],[Working Hours]],0)</f>
        <v>0</v>
      </c>
      <c r="K733" s="20" t="s">
        <v>239</v>
      </c>
    </row>
    <row r="734" spans="3:11" x14ac:dyDescent="0.25">
      <c r="C734" s="13" t="s">
        <v>43</v>
      </c>
      <c r="D734" s="8">
        <v>45777</v>
      </c>
      <c r="E734" s="7" t="s">
        <v>7</v>
      </c>
      <c r="F734" s="9"/>
      <c r="G734" s="9"/>
      <c r="H734" s="10">
        <f t="shared" si="22"/>
        <v>0</v>
      </c>
      <c r="I734" s="10">
        <f t="shared" si="23"/>
        <v>0</v>
      </c>
      <c r="J734" s="35">
        <f>IF($I$11&gt;Table4[[#This Row],[Working Hours]],$F$6-Table4[[#This Row],[Working Hours]],0)</f>
        <v>0.33333333333333331</v>
      </c>
      <c r="K734" s="20" t="s">
        <v>240</v>
      </c>
    </row>
    <row r="735" spans="3:11" x14ac:dyDescent="0.25">
      <c r="C735" s="13" t="s">
        <v>43</v>
      </c>
      <c r="D735" s="8">
        <v>45778</v>
      </c>
      <c r="E735" s="7" t="s">
        <v>8</v>
      </c>
      <c r="F735" s="9"/>
      <c r="G735" s="9"/>
      <c r="H735" s="10">
        <f t="shared" si="22"/>
        <v>0</v>
      </c>
      <c r="I735" s="10">
        <f t="shared" si="23"/>
        <v>0</v>
      </c>
      <c r="J735" s="35">
        <f>IF($I$11&gt;Table4[[#This Row],[Working Hours]],$F$6-Table4[[#This Row],[Working Hours]],0)</f>
        <v>0.33333333333333331</v>
      </c>
      <c r="K735" s="20" t="s">
        <v>71</v>
      </c>
    </row>
    <row r="736" spans="3:11" x14ac:dyDescent="0.25">
      <c r="C736" s="13" t="s">
        <v>43</v>
      </c>
      <c r="D736" s="8">
        <v>45779</v>
      </c>
      <c r="E736" s="7" t="s">
        <v>20</v>
      </c>
      <c r="F736" s="9">
        <v>0.40069444444444446</v>
      </c>
      <c r="G736" s="9">
        <v>0.9770833333333333</v>
      </c>
      <c r="H736" s="10">
        <f t="shared" si="22"/>
        <v>6.7361111111111149E-2</v>
      </c>
      <c r="I736" s="10">
        <f t="shared" si="23"/>
        <v>0.57638888888888884</v>
      </c>
      <c r="J736" s="35">
        <f>IF($I$11&gt;Table4[[#This Row],[Working Hours]],$F$6-Table4[[#This Row],[Working Hours]],0)</f>
        <v>0</v>
      </c>
      <c r="K736" s="20" t="s">
        <v>239</v>
      </c>
    </row>
    <row r="737" spans="3:11" x14ac:dyDescent="0.25">
      <c r="C737" s="13" t="s">
        <v>43</v>
      </c>
      <c r="D737" s="8">
        <v>45780</v>
      </c>
      <c r="E737" s="7" t="s">
        <v>21</v>
      </c>
      <c r="F737" s="9">
        <v>0.4368055555555555</v>
      </c>
      <c r="G737" s="9">
        <v>0.89236111111111116</v>
      </c>
      <c r="H737" s="10">
        <f t="shared" si="22"/>
        <v>0.10347222222222219</v>
      </c>
      <c r="I737" s="10">
        <f t="shared" si="23"/>
        <v>0.45555555555555566</v>
      </c>
      <c r="J737" s="35">
        <f>IF($I$11&gt;Table4[[#This Row],[Working Hours]],$F$6-Table4[[#This Row],[Working Hours]],0)</f>
        <v>0</v>
      </c>
      <c r="K737" s="20" t="s">
        <v>239</v>
      </c>
    </row>
    <row r="738" spans="3:11" x14ac:dyDescent="0.25">
      <c r="C738" s="13" t="s">
        <v>43</v>
      </c>
      <c r="D738" s="8">
        <v>45781</v>
      </c>
      <c r="E738" s="7" t="s">
        <v>22</v>
      </c>
      <c r="F738" s="9">
        <v>0.30416666666666664</v>
      </c>
      <c r="G738" s="9">
        <v>0.95416666666666661</v>
      </c>
      <c r="H738" s="10">
        <f t="shared" si="22"/>
        <v>0</v>
      </c>
      <c r="I738" s="10">
        <f t="shared" si="23"/>
        <v>0.64999999999999991</v>
      </c>
      <c r="J738" s="35">
        <f>IF($I$11&gt;Table4[[#This Row],[Working Hours]],$F$6-Table4[[#This Row],[Working Hours]],0)</f>
        <v>0</v>
      </c>
      <c r="K738" s="20" t="s">
        <v>239</v>
      </c>
    </row>
    <row r="739" spans="3:11" x14ac:dyDescent="0.25">
      <c r="C739" s="13" t="s">
        <v>43</v>
      </c>
      <c r="D739" s="8">
        <v>45782</v>
      </c>
      <c r="E739" s="7" t="s">
        <v>18</v>
      </c>
      <c r="F739" s="9">
        <v>0.4465277777777778</v>
      </c>
      <c r="G739" s="9">
        <v>0.9291666666666667</v>
      </c>
      <c r="H739" s="10">
        <f t="shared" si="22"/>
        <v>0.11319444444444449</v>
      </c>
      <c r="I739" s="10">
        <f t="shared" si="23"/>
        <v>0.4826388888888889</v>
      </c>
      <c r="J739" s="35">
        <f>IF($I$11&gt;Table4[[#This Row],[Working Hours]],$F$6-Table4[[#This Row],[Working Hours]],0)</f>
        <v>0</v>
      </c>
      <c r="K739" s="20" t="s">
        <v>239</v>
      </c>
    </row>
    <row r="740" spans="3:11" x14ac:dyDescent="0.25">
      <c r="C740" s="13" t="s">
        <v>43</v>
      </c>
      <c r="D740" s="8">
        <v>45783</v>
      </c>
      <c r="E740" s="7" t="s">
        <v>19</v>
      </c>
      <c r="F740" s="9">
        <v>0.40208333333333335</v>
      </c>
      <c r="G740" s="9">
        <v>0.85416666666666663</v>
      </c>
      <c r="H740" s="10">
        <f t="shared" si="22"/>
        <v>6.8750000000000033E-2</v>
      </c>
      <c r="I740" s="10">
        <f t="shared" si="23"/>
        <v>0.45208333333333328</v>
      </c>
      <c r="J740" s="35">
        <f>IF($I$11&gt;Table4[[#This Row],[Working Hours]],$F$6-Table4[[#This Row],[Working Hours]],0)</f>
        <v>0</v>
      </c>
      <c r="K740" s="20" t="s">
        <v>239</v>
      </c>
    </row>
    <row r="741" spans="3:11" x14ac:dyDescent="0.25">
      <c r="C741" s="13" t="s">
        <v>43</v>
      </c>
      <c r="D741" s="8">
        <v>45784</v>
      </c>
      <c r="E741" s="7" t="s">
        <v>7</v>
      </c>
      <c r="F741" s="9"/>
      <c r="G741" s="9"/>
      <c r="H741" s="10">
        <f t="shared" si="22"/>
        <v>0</v>
      </c>
      <c r="I741" s="10">
        <f t="shared" si="23"/>
        <v>0</v>
      </c>
      <c r="J741" s="35">
        <f>IF($I$11&gt;Table4[[#This Row],[Working Hours]],$F$6-Table4[[#This Row],[Working Hours]],0)</f>
        <v>0.33333333333333331</v>
      </c>
      <c r="K741" s="20" t="s">
        <v>240</v>
      </c>
    </row>
    <row r="742" spans="3:11" x14ac:dyDescent="0.25">
      <c r="C742" s="13" t="s">
        <v>43</v>
      </c>
      <c r="D742" s="8">
        <v>45785</v>
      </c>
      <c r="E742" s="7" t="s">
        <v>8</v>
      </c>
      <c r="F742" s="9"/>
      <c r="G742" s="9"/>
      <c r="H742" s="10">
        <f t="shared" si="22"/>
        <v>0</v>
      </c>
      <c r="I742" s="10">
        <f t="shared" si="23"/>
        <v>0</v>
      </c>
      <c r="J742" s="35">
        <f>IF($I$11&gt;Table4[[#This Row],[Working Hours]],$F$6-Table4[[#This Row],[Working Hours]],0)</f>
        <v>0.33333333333333331</v>
      </c>
      <c r="K742" s="20" t="s">
        <v>240</v>
      </c>
    </row>
    <row r="743" spans="3:11" x14ac:dyDescent="0.25">
      <c r="C743" s="13" t="s">
        <v>43</v>
      </c>
      <c r="D743" s="8">
        <v>45786</v>
      </c>
      <c r="E743" s="7" t="s">
        <v>20</v>
      </c>
      <c r="F743" s="9">
        <v>0.40486111111111112</v>
      </c>
      <c r="G743" s="9">
        <v>0.9458333333333333</v>
      </c>
      <c r="H743" s="10">
        <f t="shared" si="22"/>
        <v>7.1527777777777801E-2</v>
      </c>
      <c r="I743" s="10">
        <f t="shared" si="23"/>
        <v>0.54097222222222219</v>
      </c>
      <c r="J743" s="35">
        <f>IF($I$11&gt;Table4[[#This Row],[Working Hours]],$F$6-Table4[[#This Row],[Working Hours]],0)</f>
        <v>0</v>
      </c>
      <c r="K743" s="20" t="s">
        <v>239</v>
      </c>
    </row>
    <row r="744" spans="3:11" x14ac:dyDescent="0.25">
      <c r="C744" s="13" t="s">
        <v>43</v>
      </c>
      <c r="D744" s="8">
        <v>45787</v>
      </c>
      <c r="E744" s="7" t="s">
        <v>21</v>
      </c>
      <c r="F744" s="9">
        <v>0.47152777777777777</v>
      </c>
      <c r="G744" s="9">
        <v>0.90555555555555556</v>
      </c>
      <c r="H744" s="10">
        <f t="shared" si="22"/>
        <v>0.13819444444444445</v>
      </c>
      <c r="I744" s="10">
        <f t="shared" si="23"/>
        <v>0.43402777777777779</v>
      </c>
      <c r="J744" s="35">
        <f>IF($I$11&gt;Table4[[#This Row],[Working Hours]],$F$6-Table4[[#This Row],[Working Hours]],0)</f>
        <v>0</v>
      </c>
      <c r="K744" s="20" t="s">
        <v>239</v>
      </c>
    </row>
    <row r="745" spans="3:11" x14ac:dyDescent="0.25">
      <c r="C745" s="13" t="s">
        <v>43</v>
      </c>
      <c r="D745" s="8">
        <v>45788</v>
      </c>
      <c r="E745" s="7" t="s">
        <v>22</v>
      </c>
      <c r="F745" s="9">
        <v>0.45208333333333334</v>
      </c>
      <c r="G745" s="9">
        <v>0.86875000000000002</v>
      </c>
      <c r="H745" s="10">
        <f t="shared" si="22"/>
        <v>0.11875000000000002</v>
      </c>
      <c r="I745" s="10">
        <f t="shared" si="23"/>
        <v>0.41666666666666669</v>
      </c>
      <c r="J745" s="35">
        <f>IF($I$11&gt;Table4[[#This Row],[Working Hours]],$F$6-Table4[[#This Row],[Working Hours]],0)</f>
        <v>0</v>
      </c>
      <c r="K745" s="20" t="s">
        <v>239</v>
      </c>
    </row>
    <row r="746" spans="3:11" x14ac:dyDescent="0.25">
      <c r="C746" s="13" t="s">
        <v>43</v>
      </c>
      <c r="D746" s="8">
        <v>45789</v>
      </c>
      <c r="E746" s="7" t="s">
        <v>18</v>
      </c>
      <c r="F746" s="9">
        <v>0.3354166666666667</v>
      </c>
      <c r="G746" s="9">
        <v>0.97083333333333333</v>
      </c>
      <c r="H746" s="10">
        <f t="shared" si="22"/>
        <v>2.0833333333333814E-3</v>
      </c>
      <c r="I746" s="10">
        <f t="shared" si="23"/>
        <v>0.63541666666666663</v>
      </c>
      <c r="J746" s="35">
        <f>IF($I$11&gt;Table4[[#This Row],[Working Hours]],$F$6-Table4[[#This Row],[Working Hours]],0)</f>
        <v>0</v>
      </c>
      <c r="K746" s="20" t="s">
        <v>239</v>
      </c>
    </row>
    <row r="747" spans="3:11" x14ac:dyDescent="0.25">
      <c r="C747" s="13" t="s">
        <v>43</v>
      </c>
      <c r="D747" s="8">
        <v>45790</v>
      </c>
      <c r="E747" s="7" t="s">
        <v>19</v>
      </c>
      <c r="F747" s="9">
        <v>0.40138888888888885</v>
      </c>
      <c r="G747" s="9">
        <v>0.97499999999999998</v>
      </c>
      <c r="H747" s="10">
        <f t="shared" si="22"/>
        <v>6.8055555555555536E-2</v>
      </c>
      <c r="I747" s="10">
        <f t="shared" si="23"/>
        <v>0.57361111111111107</v>
      </c>
      <c r="J747" s="35">
        <f>IF($I$11&gt;Table4[[#This Row],[Working Hours]],$F$6-Table4[[#This Row],[Working Hours]],0)</f>
        <v>0</v>
      </c>
      <c r="K747" s="20" t="s">
        <v>239</v>
      </c>
    </row>
    <row r="748" spans="3:11" x14ac:dyDescent="0.25">
      <c r="C748" s="13" t="s">
        <v>43</v>
      </c>
      <c r="D748" s="8">
        <v>45791</v>
      </c>
      <c r="E748" s="7" t="s">
        <v>7</v>
      </c>
      <c r="F748" s="9"/>
      <c r="G748" s="9"/>
      <c r="H748" s="10">
        <f t="shared" si="22"/>
        <v>0</v>
      </c>
      <c r="I748" s="10">
        <f t="shared" si="23"/>
        <v>0</v>
      </c>
      <c r="J748" s="35">
        <f>IF($I$11&gt;Table4[[#This Row],[Working Hours]],$F$6-Table4[[#This Row],[Working Hours]],0)</f>
        <v>0.33333333333333331</v>
      </c>
      <c r="K748" s="20" t="s">
        <v>240</v>
      </c>
    </row>
    <row r="749" spans="3:11" x14ac:dyDescent="0.25">
      <c r="C749" s="13" t="s">
        <v>43</v>
      </c>
      <c r="D749" s="8">
        <v>45792</v>
      </c>
      <c r="E749" s="7" t="s">
        <v>8</v>
      </c>
      <c r="F749" s="9"/>
      <c r="G749" s="9"/>
      <c r="H749" s="10">
        <f t="shared" si="22"/>
        <v>0</v>
      </c>
      <c r="I749" s="10">
        <f t="shared" si="23"/>
        <v>0</v>
      </c>
      <c r="J749" s="35">
        <f>IF($I$11&gt;Table4[[#This Row],[Working Hours]],$F$6-Table4[[#This Row],[Working Hours]],0)</f>
        <v>0.33333333333333331</v>
      </c>
      <c r="K749" s="20" t="s">
        <v>240</v>
      </c>
    </row>
    <row r="750" spans="3:11" x14ac:dyDescent="0.25">
      <c r="C750" s="13" t="s">
        <v>43</v>
      </c>
      <c r="D750" s="8">
        <v>45793</v>
      </c>
      <c r="E750" s="7" t="s">
        <v>20</v>
      </c>
      <c r="F750" s="9">
        <v>0.32708333333333334</v>
      </c>
      <c r="G750" s="9">
        <v>0.8881944444444444</v>
      </c>
      <c r="H750" s="10">
        <f t="shared" si="22"/>
        <v>0</v>
      </c>
      <c r="I750" s="10">
        <f t="shared" si="23"/>
        <v>0.56111111111111112</v>
      </c>
      <c r="J750" s="35">
        <f>IF($I$11&gt;Table4[[#This Row],[Working Hours]],$F$6-Table4[[#This Row],[Working Hours]],0)</f>
        <v>0</v>
      </c>
      <c r="K750" s="20" t="s">
        <v>239</v>
      </c>
    </row>
    <row r="751" spans="3:11" x14ac:dyDescent="0.25">
      <c r="C751" s="13" t="s">
        <v>43</v>
      </c>
      <c r="D751" s="8">
        <v>45794</v>
      </c>
      <c r="E751" s="7" t="s">
        <v>21</v>
      </c>
      <c r="F751" s="9">
        <v>0.35625000000000001</v>
      </c>
      <c r="G751" s="9">
        <v>0.90347222222222223</v>
      </c>
      <c r="H751" s="10">
        <f t="shared" si="22"/>
        <v>2.2916666666666696E-2</v>
      </c>
      <c r="I751" s="10">
        <f t="shared" si="23"/>
        <v>0.54722222222222228</v>
      </c>
      <c r="J751" s="35">
        <f>IF($I$11&gt;Table4[[#This Row],[Working Hours]],$F$6-Table4[[#This Row],[Working Hours]],0)</f>
        <v>0</v>
      </c>
      <c r="K751" s="20" t="s">
        <v>239</v>
      </c>
    </row>
    <row r="752" spans="3:11" x14ac:dyDescent="0.25">
      <c r="C752" s="13" t="s">
        <v>43</v>
      </c>
      <c r="D752" s="8">
        <v>45795</v>
      </c>
      <c r="E752" s="7" t="s">
        <v>22</v>
      </c>
      <c r="F752" s="9">
        <v>0.3347222222222222</v>
      </c>
      <c r="G752" s="9">
        <v>0.84791666666666676</v>
      </c>
      <c r="H752" s="10">
        <f t="shared" si="22"/>
        <v>1.388888888888884E-3</v>
      </c>
      <c r="I752" s="10">
        <f t="shared" si="23"/>
        <v>0.51319444444444451</v>
      </c>
      <c r="J752" s="35">
        <f>IF($I$11&gt;Table4[[#This Row],[Working Hours]],$F$6-Table4[[#This Row],[Working Hours]],0)</f>
        <v>0</v>
      </c>
      <c r="K752" s="20" t="s">
        <v>239</v>
      </c>
    </row>
    <row r="753" spans="3:11" x14ac:dyDescent="0.25">
      <c r="C753" s="13" t="s">
        <v>43</v>
      </c>
      <c r="D753" s="8">
        <v>45796</v>
      </c>
      <c r="E753" s="7" t="s">
        <v>18</v>
      </c>
      <c r="F753" s="9">
        <v>0.29375000000000001</v>
      </c>
      <c r="G753" s="9">
        <v>0.94166666666666676</v>
      </c>
      <c r="H753" s="10">
        <f t="shared" si="22"/>
        <v>0</v>
      </c>
      <c r="I753" s="10">
        <f t="shared" si="23"/>
        <v>0.6479166666666667</v>
      </c>
      <c r="J753" s="35">
        <f>IF($I$11&gt;Table4[[#This Row],[Working Hours]],$F$6-Table4[[#This Row],[Working Hours]],0)</f>
        <v>0</v>
      </c>
      <c r="K753" s="20" t="s">
        <v>239</v>
      </c>
    </row>
    <row r="754" spans="3:11" x14ac:dyDescent="0.25">
      <c r="C754" s="13" t="s">
        <v>43</v>
      </c>
      <c r="D754" s="8">
        <v>45797</v>
      </c>
      <c r="E754" s="7" t="s">
        <v>19</v>
      </c>
      <c r="F754" s="9">
        <v>0.4152777777777778</v>
      </c>
      <c r="G754" s="9">
        <v>0.85833333333333339</v>
      </c>
      <c r="H754" s="10">
        <f t="shared" si="22"/>
        <v>8.1944444444444486E-2</v>
      </c>
      <c r="I754" s="10">
        <f t="shared" si="23"/>
        <v>0.44305555555555559</v>
      </c>
      <c r="J754" s="35">
        <f>IF($I$11&gt;Table4[[#This Row],[Working Hours]],$F$6-Table4[[#This Row],[Working Hours]],0)</f>
        <v>0</v>
      </c>
      <c r="K754" s="20" t="s">
        <v>239</v>
      </c>
    </row>
    <row r="755" spans="3:11" x14ac:dyDescent="0.25">
      <c r="C755" s="13" t="s">
        <v>43</v>
      </c>
      <c r="D755" s="8">
        <v>45798</v>
      </c>
      <c r="E755" s="7" t="s">
        <v>7</v>
      </c>
      <c r="F755" s="9"/>
      <c r="G755" s="9"/>
      <c r="H755" s="10">
        <f t="shared" si="22"/>
        <v>0</v>
      </c>
      <c r="I755" s="10">
        <f t="shared" si="23"/>
        <v>0</v>
      </c>
      <c r="J755" s="35">
        <f>IF($I$11&gt;Table4[[#This Row],[Working Hours]],$F$6-Table4[[#This Row],[Working Hours]],0)</f>
        <v>0.33333333333333331</v>
      </c>
      <c r="K755" s="20" t="s">
        <v>240</v>
      </c>
    </row>
    <row r="756" spans="3:11" x14ac:dyDescent="0.25">
      <c r="C756" s="13" t="s">
        <v>43</v>
      </c>
      <c r="D756" s="8">
        <v>45799</v>
      </c>
      <c r="E756" s="7" t="s">
        <v>8</v>
      </c>
      <c r="F756" s="9"/>
      <c r="G756" s="9"/>
      <c r="H756" s="10">
        <f t="shared" si="22"/>
        <v>0</v>
      </c>
      <c r="I756" s="10">
        <f t="shared" si="23"/>
        <v>0</v>
      </c>
      <c r="J756" s="35">
        <f>IF($I$11&gt;Table4[[#This Row],[Working Hours]],$F$6-Table4[[#This Row],[Working Hours]],0)</f>
        <v>0.33333333333333331</v>
      </c>
      <c r="K756" s="20" t="s">
        <v>240</v>
      </c>
    </row>
    <row r="757" spans="3:11" x14ac:dyDescent="0.25">
      <c r="C757" s="13" t="s">
        <v>43</v>
      </c>
      <c r="D757" s="8">
        <v>45800</v>
      </c>
      <c r="E757" s="7" t="s">
        <v>20</v>
      </c>
      <c r="F757" s="9">
        <v>0.38055555555555554</v>
      </c>
      <c r="G757" s="9">
        <v>0.9902777777777777</v>
      </c>
      <c r="H757" s="10">
        <f t="shared" si="22"/>
        <v>4.7222222222222221E-2</v>
      </c>
      <c r="I757" s="10">
        <f t="shared" si="23"/>
        <v>0.60972222222222217</v>
      </c>
      <c r="J757" s="35">
        <f>IF($I$11&gt;Table4[[#This Row],[Working Hours]],$F$6-Table4[[#This Row],[Working Hours]],0)</f>
        <v>0</v>
      </c>
      <c r="K757" s="20" t="s">
        <v>239</v>
      </c>
    </row>
    <row r="758" spans="3:11" x14ac:dyDescent="0.25">
      <c r="C758" s="13" t="s">
        <v>43</v>
      </c>
      <c r="D758" s="8">
        <v>45801</v>
      </c>
      <c r="E758" s="7" t="s">
        <v>21</v>
      </c>
      <c r="F758" s="9">
        <v>0.41319444444444442</v>
      </c>
      <c r="G758" s="9">
        <v>0.91249999999999998</v>
      </c>
      <c r="H758" s="10">
        <f t="shared" si="22"/>
        <v>7.9861111111111105E-2</v>
      </c>
      <c r="I758" s="10">
        <f t="shared" si="23"/>
        <v>0.49930555555555556</v>
      </c>
      <c r="J758" s="35">
        <f>IF($I$11&gt;Table4[[#This Row],[Working Hours]],$F$6-Table4[[#This Row],[Working Hours]],0)</f>
        <v>0</v>
      </c>
      <c r="K758" s="20" t="s">
        <v>239</v>
      </c>
    </row>
    <row r="759" spans="3:11" x14ac:dyDescent="0.25">
      <c r="C759" s="13" t="s">
        <v>43</v>
      </c>
      <c r="D759" s="8">
        <v>45802</v>
      </c>
      <c r="E759" s="7" t="s">
        <v>22</v>
      </c>
      <c r="F759" s="9">
        <v>0.44166666666666665</v>
      </c>
      <c r="G759" s="9">
        <v>0.84861111111111109</v>
      </c>
      <c r="H759" s="10">
        <f t="shared" si="22"/>
        <v>0.10833333333333334</v>
      </c>
      <c r="I759" s="10">
        <f t="shared" si="23"/>
        <v>0.40694444444444444</v>
      </c>
      <c r="J759" s="35">
        <f>IF($I$11&gt;Table4[[#This Row],[Working Hours]],$F$6-Table4[[#This Row],[Working Hours]],0)</f>
        <v>0</v>
      </c>
      <c r="K759" s="20" t="s">
        <v>239</v>
      </c>
    </row>
    <row r="760" spans="3:11" x14ac:dyDescent="0.25">
      <c r="C760" s="13" t="s">
        <v>43</v>
      </c>
      <c r="D760" s="8">
        <v>45803</v>
      </c>
      <c r="E760" s="7" t="s">
        <v>18</v>
      </c>
      <c r="F760" s="9">
        <v>0.44444444444444442</v>
      </c>
      <c r="G760" s="9">
        <v>0.87291666666666667</v>
      </c>
      <c r="H760" s="10">
        <f t="shared" si="22"/>
        <v>0.1111111111111111</v>
      </c>
      <c r="I760" s="10">
        <f t="shared" si="23"/>
        <v>0.42847222222222225</v>
      </c>
      <c r="J760" s="35">
        <f>IF($I$11&gt;Table4[[#This Row],[Working Hours]],$F$6-Table4[[#This Row],[Working Hours]],0)</f>
        <v>0</v>
      </c>
      <c r="K760" s="20" t="s">
        <v>239</v>
      </c>
    </row>
    <row r="761" spans="3:11" x14ac:dyDescent="0.25">
      <c r="C761" s="13" t="s">
        <v>43</v>
      </c>
      <c r="D761" s="8">
        <v>45804</v>
      </c>
      <c r="E761" s="7" t="s">
        <v>19</v>
      </c>
      <c r="F761" s="9">
        <v>0.3298611111111111</v>
      </c>
      <c r="G761" s="9">
        <v>0.93125000000000002</v>
      </c>
      <c r="H761" s="10">
        <f t="shared" si="22"/>
        <v>0</v>
      </c>
      <c r="I761" s="10">
        <f t="shared" si="23"/>
        <v>0.60138888888888897</v>
      </c>
      <c r="J761" s="35">
        <f>IF($I$11&gt;Table4[[#This Row],[Working Hours]],$F$6-Table4[[#This Row],[Working Hours]],0)</f>
        <v>0</v>
      </c>
      <c r="K761" s="20" t="s">
        <v>239</v>
      </c>
    </row>
    <row r="762" spans="3:11" x14ac:dyDescent="0.25">
      <c r="C762" s="13" t="s">
        <v>43</v>
      </c>
      <c r="D762" s="8">
        <v>45805</v>
      </c>
      <c r="E762" s="7" t="s">
        <v>7</v>
      </c>
      <c r="F762" s="9"/>
      <c r="G762" s="9"/>
      <c r="H762" s="10">
        <f t="shared" si="22"/>
        <v>0</v>
      </c>
      <c r="I762" s="10">
        <f t="shared" si="23"/>
        <v>0</v>
      </c>
      <c r="J762" s="35">
        <f>IF($I$11&gt;Table4[[#This Row],[Working Hours]],$F$6-Table4[[#This Row],[Working Hours]],0)</f>
        <v>0.33333333333333331</v>
      </c>
      <c r="K762" s="20" t="s">
        <v>240</v>
      </c>
    </row>
    <row r="763" spans="3:11" x14ac:dyDescent="0.25">
      <c r="C763" s="13" t="s">
        <v>43</v>
      </c>
      <c r="D763" s="8">
        <v>45806</v>
      </c>
      <c r="E763" s="7" t="s">
        <v>8</v>
      </c>
      <c r="F763" s="9"/>
      <c r="G763" s="9"/>
      <c r="H763" s="10">
        <f t="shared" si="22"/>
        <v>0</v>
      </c>
      <c r="I763" s="10">
        <f t="shared" si="23"/>
        <v>0</v>
      </c>
      <c r="J763" s="35">
        <f>IF($I$11&gt;Table4[[#This Row],[Working Hours]],$F$6-Table4[[#This Row],[Working Hours]],0)</f>
        <v>0.33333333333333331</v>
      </c>
      <c r="K763" s="20" t="s">
        <v>240</v>
      </c>
    </row>
    <row r="764" spans="3:11" x14ac:dyDescent="0.25">
      <c r="C764" s="13" t="s">
        <v>43</v>
      </c>
      <c r="D764" s="8">
        <v>45807</v>
      </c>
      <c r="E764" s="7" t="s">
        <v>20</v>
      </c>
      <c r="F764" s="9">
        <v>0.37777777777777777</v>
      </c>
      <c r="G764" s="9">
        <v>0.92986111111111114</v>
      </c>
      <c r="H764" s="10">
        <f t="shared" si="22"/>
        <v>4.4444444444444453E-2</v>
      </c>
      <c r="I764" s="10">
        <f t="shared" si="23"/>
        <v>0.55208333333333337</v>
      </c>
      <c r="J764" s="35">
        <f>IF($I$11&gt;Table4[[#This Row],[Working Hours]],$F$6-Table4[[#This Row],[Working Hours]],0)</f>
        <v>0</v>
      </c>
      <c r="K764" s="20" t="s">
        <v>239</v>
      </c>
    </row>
    <row r="765" spans="3:11" x14ac:dyDescent="0.25">
      <c r="C765" s="13" t="s">
        <v>43</v>
      </c>
      <c r="D765" s="8">
        <v>45808</v>
      </c>
      <c r="E765" s="7" t="s">
        <v>21</v>
      </c>
      <c r="F765" s="9">
        <v>0.41319444444444442</v>
      </c>
      <c r="G765" s="9">
        <v>0.99791666666666667</v>
      </c>
      <c r="H765" s="10">
        <f t="shared" si="22"/>
        <v>7.9861111111111105E-2</v>
      </c>
      <c r="I765" s="10">
        <f t="shared" si="23"/>
        <v>0.58472222222222225</v>
      </c>
      <c r="J765" s="35">
        <f>IF($I$11&gt;Table4[[#This Row],[Working Hours]],$F$6-Table4[[#This Row],[Working Hours]],0)</f>
        <v>0</v>
      </c>
      <c r="K765" s="20" t="s">
        <v>239</v>
      </c>
    </row>
    <row r="766" spans="3:11" x14ac:dyDescent="0.25">
      <c r="C766" s="13" t="s">
        <v>52</v>
      </c>
      <c r="D766" s="8">
        <v>45658</v>
      </c>
      <c r="E766" s="7" t="s">
        <v>22</v>
      </c>
      <c r="F766" s="9">
        <v>0.39374999999999999</v>
      </c>
      <c r="G766" s="9">
        <v>0.85625000000000007</v>
      </c>
      <c r="H766" s="10">
        <f t="shared" si="22"/>
        <v>6.0416666666666674E-2</v>
      </c>
      <c r="I766" s="10">
        <f t="shared" si="23"/>
        <v>0.46250000000000008</v>
      </c>
      <c r="J766" s="35">
        <f>IF($I$11&gt;Table4[[#This Row],[Working Hours]],$F$6-Table4[[#This Row],[Working Hours]],0)</f>
        <v>0</v>
      </c>
      <c r="K766" s="20" t="s">
        <v>239</v>
      </c>
    </row>
    <row r="767" spans="3:11" x14ac:dyDescent="0.25">
      <c r="C767" s="13" t="s">
        <v>52</v>
      </c>
      <c r="D767" s="8">
        <v>45659</v>
      </c>
      <c r="E767" s="7" t="s">
        <v>18</v>
      </c>
      <c r="F767" s="9">
        <v>0.45347222222222222</v>
      </c>
      <c r="G767" s="9">
        <v>0.89444444444444438</v>
      </c>
      <c r="H767" s="10">
        <f t="shared" si="22"/>
        <v>0.12013888888888891</v>
      </c>
      <c r="I767" s="10">
        <f t="shared" si="23"/>
        <v>0.44097222222222215</v>
      </c>
      <c r="J767" s="35">
        <f>IF($I$11&gt;Table4[[#This Row],[Working Hours]],$F$6-Table4[[#This Row],[Working Hours]],0)</f>
        <v>0</v>
      </c>
      <c r="K767" s="20" t="s">
        <v>239</v>
      </c>
    </row>
    <row r="768" spans="3:11" x14ac:dyDescent="0.25">
      <c r="C768" s="13" t="s">
        <v>52</v>
      </c>
      <c r="D768" s="8">
        <v>45660</v>
      </c>
      <c r="E768" s="7" t="s">
        <v>19</v>
      </c>
      <c r="F768" s="9">
        <v>0.31666666666666665</v>
      </c>
      <c r="G768" s="9">
        <v>0.93402777777777779</v>
      </c>
      <c r="H768" s="10">
        <f t="shared" si="22"/>
        <v>0</v>
      </c>
      <c r="I768" s="10">
        <f t="shared" si="23"/>
        <v>0.61736111111111114</v>
      </c>
      <c r="J768" s="35">
        <f>IF($I$11&gt;Table4[[#This Row],[Working Hours]],$F$6-Table4[[#This Row],[Working Hours]],0)</f>
        <v>0</v>
      </c>
      <c r="K768" s="20" t="s">
        <v>239</v>
      </c>
    </row>
    <row r="769" spans="3:11" x14ac:dyDescent="0.25">
      <c r="C769" s="13" t="s">
        <v>52</v>
      </c>
      <c r="D769" s="8">
        <v>45661</v>
      </c>
      <c r="E769" s="7" t="s">
        <v>7</v>
      </c>
      <c r="F769" s="9"/>
      <c r="G769" s="9"/>
      <c r="H769" s="10">
        <f t="shared" si="22"/>
        <v>0</v>
      </c>
      <c r="I769" s="10">
        <f t="shared" si="23"/>
        <v>0</v>
      </c>
      <c r="J769" s="35">
        <f>IF($I$11&gt;Table4[[#This Row],[Working Hours]],$F$6-Table4[[#This Row],[Working Hours]],0)</f>
        <v>0.33333333333333331</v>
      </c>
      <c r="K769" s="20" t="s">
        <v>240</v>
      </c>
    </row>
    <row r="770" spans="3:11" x14ac:dyDescent="0.25">
      <c r="C770" s="13" t="s">
        <v>52</v>
      </c>
      <c r="D770" s="8">
        <v>45662</v>
      </c>
      <c r="E770" s="7" t="s">
        <v>8</v>
      </c>
      <c r="F770" s="9"/>
      <c r="G770" s="9"/>
      <c r="H770" s="10">
        <f t="shared" si="22"/>
        <v>0</v>
      </c>
      <c r="I770" s="10">
        <f t="shared" si="23"/>
        <v>0</v>
      </c>
      <c r="J770" s="35">
        <f>IF($I$11&gt;Table4[[#This Row],[Working Hours]],$F$6-Table4[[#This Row],[Working Hours]],0)</f>
        <v>0.33333333333333331</v>
      </c>
      <c r="K770" s="20" t="s">
        <v>240</v>
      </c>
    </row>
    <row r="771" spans="3:11" x14ac:dyDescent="0.25">
      <c r="C771" s="13" t="s">
        <v>52</v>
      </c>
      <c r="D771" s="8">
        <v>45663</v>
      </c>
      <c r="E771" s="7" t="s">
        <v>20</v>
      </c>
      <c r="F771" s="9">
        <v>0.41180555555555554</v>
      </c>
      <c r="G771" s="9">
        <v>0.99652777777777779</v>
      </c>
      <c r="H771" s="10">
        <f t="shared" si="22"/>
        <v>7.8472222222222221E-2</v>
      </c>
      <c r="I771" s="10">
        <f t="shared" si="23"/>
        <v>0.58472222222222225</v>
      </c>
      <c r="J771" s="35">
        <f>IF($I$11&gt;Table4[[#This Row],[Working Hours]],$F$6-Table4[[#This Row],[Working Hours]],0)</f>
        <v>0</v>
      </c>
      <c r="K771" s="20" t="s">
        <v>239</v>
      </c>
    </row>
    <row r="772" spans="3:11" x14ac:dyDescent="0.25">
      <c r="C772" s="13" t="s">
        <v>52</v>
      </c>
      <c r="D772" s="8">
        <v>45664</v>
      </c>
      <c r="E772" s="7" t="s">
        <v>21</v>
      </c>
      <c r="F772" s="9">
        <v>0.39166666666666666</v>
      </c>
      <c r="G772" s="9">
        <v>0.90694444444444444</v>
      </c>
      <c r="H772" s="10">
        <f t="shared" si="22"/>
        <v>5.8333333333333348E-2</v>
      </c>
      <c r="I772" s="10">
        <f t="shared" si="23"/>
        <v>0.51527777777777772</v>
      </c>
      <c r="J772" s="35">
        <f>IF($I$11&gt;Table4[[#This Row],[Working Hours]],$F$6-Table4[[#This Row],[Working Hours]],0)</f>
        <v>0</v>
      </c>
      <c r="K772" s="20" t="s">
        <v>239</v>
      </c>
    </row>
    <row r="773" spans="3:11" x14ac:dyDescent="0.25">
      <c r="C773" s="13" t="s">
        <v>52</v>
      </c>
      <c r="D773" s="8">
        <v>45665</v>
      </c>
      <c r="E773" s="7" t="s">
        <v>22</v>
      </c>
      <c r="F773" s="9">
        <v>0.33749999999999997</v>
      </c>
      <c r="G773" s="9">
        <v>0.93402777777777779</v>
      </c>
      <c r="H773" s="10">
        <f t="shared" si="22"/>
        <v>4.1666666666666519E-3</v>
      </c>
      <c r="I773" s="10">
        <f t="shared" si="23"/>
        <v>0.59652777777777777</v>
      </c>
      <c r="J773" s="35">
        <f>IF($I$11&gt;Table4[[#This Row],[Working Hours]],$F$6-Table4[[#This Row],[Working Hours]],0)</f>
        <v>0</v>
      </c>
      <c r="K773" s="20" t="s">
        <v>239</v>
      </c>
    </row>
    <row r="774" spans="3:11" x14ac:dyDescent="0.25">
      <c r="C774" s="13" t="s">
        <v>52</v>
      </c>
      <c r="D774" s="8">
        <v>45666</v>
      </c>
      <c r="E774" s="7" t="s">
        <v>18</v>
      </c>
      <c r="F774" s="9">
        <v>0.3125</v>
      </c>
      <c r="G774" s="9">
        <v>0.87222222222222223</v>
      </c>
      <c r="H774" s="10">
        <f t="shared" si="22"/>
        <v>0</v>
      </c>
      <c r="I774" s="10">
        <f t="shared" si="23"/>
        <v>0.55972222222222223</v>
      </c>
      <c r="J774" s="35">
        <f>IF($I$11&gt;Table4[[#This Row],[Working Hours]],$F$6-Table4[[#This Row],[Working Hours]],0)</f>
        <v>0</v>
      </c>
      <c r="K774" s="20" t="s">
        <v>239</v>
      </c>
    </row>
    <row r="775" spans="3:11" x14ac:dyDescent="0.25">
      <c r="C775" s="13" t="s">
        <v>52</v>
      </c>
      <c r="D775" s="8">
        <v>45667</v>
      </c>
      <c r="E775" s="7" t="s">
        <v>19</v>
      </c>
      <c r="F775" s="9">
        <v>0.44305555555555554</v>
      </c>
      <c r="G775" s="9">
        <v>0.84375</v>
      </c>
      <c r="H775" s="10">
        <f t="shared" si="22"/>
        <v>0.10972222222222222</v>
      </c>
      <c r="I775" s="10">
        <f t="shared" si="23"/>
        <v>0.40069444444444446</v>
      </c>
      <c r="J775" s="35">
        <f>IF($I$11&gt;Table4[[#This Row],[Working Hours]],$F$6-Table4[[#This Row],[Working Hours]],0)</f>
        <v>0</v>
      </c>
      <c r="K775" s="20" t="s">
        <v>239</v>
      </c>
    </row>
    <row r="776" spans="3:11" x14ac:dyDescent="0.25">
      <c r="C776" s="13" t="s">
        <v>52</v>
      </c>
      <c r="D776" s="8">
        <v>45668</v>
      </c>
      <c r="E776" s="7" t="s">
        <v>7</v>
      </c>
      <c r="F776" s="9"/>
      <c r="G776" s="9"/>
      <c r="H776" s="10">
        <f t="shared" si="22"/>
        <v>0</v>
      </c>
      <c r="I776" s="10">
        <f t="shared" si="23"/>
        <v>0</v>
      </c>
      <c r="J776" s="35">
        <f>IF($I$11&gt;Table4[[#This Row],[Working Hours]],$F$6-Table4[[#This Row],[Working Hours]],0)</f>
        <v>0.33333333333333331</v>
      </c>
      <c r="K776" s="20" t="s">
        <v>240</v>
      </c>
    </row>
    <row r="777" spans="3:11" x14ac:dyDescent="0.25">
      <c r="C777" s="13" t="s">
        <v>52</v>
      </c>
      <c r="D777" s="8">
        <v>45669</v>
      </c>
      <c r="E777" s="7" t="s">
        <v>8</v>
      </c>
      <c r="F777" s="9"/>
      <c r="G777" s="9"/>
      <c r="H777" s="10">
        <f t="shared" si="22"/>
        <v>0</v>
      </c>
      <c r="I777" s="10">
        <f t="shared" si="23"/>
        <v>0</v>
      </c>
      <c r="J777" s="35">
        <f>IF($I$11&gt;Table4[[#This Row],[Working Hours]],$F$6-Table4[[#This Row],[Working Hours]],0)</f>
        <v>0.33333333333333331</v>
      </c>
      <c r="K777" s="20" t="s">
        <v>240</v>
      </c>
    </row>
    <row r="778" spans="3:11" x14ac:dyDescent="0.25">
      <c r="C778" s="13" t="s">
        <v>52</v>
      </c>
      <c r="D778" s="8">
        <v>45670</v>
      </c>
      <c r="E778" s="7" t="s">
        <v>20</v>
      </c>
      <c r="F778" s="9">
        <v>0.2986111111111111</v>
      </c>
      <c r="G778" s="9">
        <v>0.85416666666666663</v>
      </c>
      <c r="H778" s="10">
        <f t="shared" si="22"/>
        <v>0</v>
      </c>
      <c r="I778" s="10">
        <f t="shared" si="23"/>
        <v>0.55555555555555558</v>
      </c>
      <c r="J778" s="35">
        <f>IF($I$11&gt;Table4[[#This Row],[Working Hours]],$F$6-Table4[[#This Row],[Working Hours]],0)</f>
        <v>0</v>
      </c>
      <c r="K778" s="20" t="s">
        <v>239</v>
      </c>
    </row>
    <row r="779" spans="3:11" x14ac:dyDescent="0.25">
      <c r="C779" s="13" t="s">
        <v>52</v>
      </c>
      <c r="D779" s="8">
        <v>45671</v>
      </c>
      <c r="E779" s="7" t="s">
        <v>21</v>
      </c>
      <c r="F779" s="9"/>
      <c r="G779" s="9"/>
      <c r="H779" s="10">
        <f t="shared" si="22"/>
        <v>0</v>
      </c>
      <c r="I779" s="10">
        <f t="shared" si="23"/>
        <v>0</v>
      </c>
      <c r="J779" s="35">
        <f>IF($I$11&gt;Table4[[#This Row],[Working Hours]],$F$6-Table4[[#This Row],[Working Hours]],0)</f>
        <v>0.33333333333333331</v>
      </c>
      <c r="K779" s="20" t="s">
        <v>72</v>
      </c>
    </row>
    <row r="780" spans="3:11" x14ac:dyDescent="0.25">
      <c r="C780" s="13" t="s">
        <v>52</v>
      </c>
      <c r="D780" s="8">
        <v>45672</v>
      </c>
      <c r="E780" s="7" t="s">
        <v>22</v>
      </c>
      <c r="F780" s="9">
        <v>0.39305555555555555</v>
      </c>
      <c r="G780" s="9">
        <v>0.99930555555555556</v>
      </c>
      <c r="H780" s="10">
        <f t="shared" ref="H780:H843" si="24">IF($F780&gt;$F$6,$F780-$F$6,0)</f>
        <v>5.9722222222222232E-2</v>
      </c>
      <c r="I780" s="10">
        <f t="shared" ref="I780:I843" si="25">$G780-$F780</f>
        <v>0.60624999999999996</v>
      </c>
      <c r="J780" s="35">
        <f>IF($I$11&gt;Table4[[#This Row],[Working Hours]],$F$6-Table4[[#This Row],[Working Hours]],0)</f>
        <v>0</v>
      </c>
      <c r="K780" s="20" t="s">
        <v>239</v>
      </c>
    </row>
    <row r="781" spans="3:11" x14ac:dyDescent="0.25">
      <c r="C781" s="13" t="s">
        <v>52</v>
      </c>
      <c r="D781" s="8">
        <v>45673</v>
      </c>
      <c r="E781" s="7" t="s">
        <v>18</v>
      </c>
      <c r="F781" s="9">
        <v>0.2951388888888889</v>
      </c>
      <c r="G781" s="9">
        <v>0.99791666666666667</v>
      </c>
      <c r="H781" s="10">
        <f t="shared" si="24"/>
        <v>0</v>
      </c>
      <c r="I781" s="10">
        <f t="shared" si="25"/>
        <v>0.70277777777777772</v>
      </c>
      <c r="J781" s="35">
        <f>IF($I$11&gt;Table4[[#This Row],[Working Hours]],$F$6-Table4[[#This Row],[Working Hours]],0)</f>
        <v>0</v>
      </c>
      <c r="K781" s="20" t="s">
        <v>239</v>
      </c>
    </row>
    <row r="782" spans="3:11" x14ac:dyDescent="0.25">
      <c r="C782" s="13" t="s">
        <v>52</v>
      </c>
      <c r="D782" s="8">
        <v>45674</v>
      </c>
      <c r="E782" s="7" t="s">
        <v>19</v>
      </c>
      <c r="F782" s="9">
        <v>0.32361111111111113</v>
      </c>
      <c r="G782" s="9">
        <v>0.9159722222222223</v>
      </c>
      <c r="H782" s="10">
        <f t="shared" si="24"/>
        <v>0</v>
      </c>
      <c r="I782" s="10">
        <f t="shared" si="25"/>
        <v>0.59236111111111112</v>
      </c>
      <c r="J782" s="35">
        <f>IF($I$11&gt;Table4[[#This Row],[Working Hours]],$F$6-Table4[[#This Row],[Working Hours]],0)</f>
        <v>0</v>
      </c>
      <c r="K782" s="20" t="s">
        <v>239</v>
      </c>
    </row>
    <row r="783" spans="3:11" x14ac:dyDescent="0.25">
      <c r="C783" s="13" t="s">
        <v>52</v>
      </c>
      <c r="D783" s="8">
        <v>45675</v>
      </c>
      <c r="E783" s="7" t="s">
        <v>7</v>
      </c>
      <c r="F783" s="9"/>
      <c r="G783" s="9"/>
      <c r="H783" s="10">
        <f t="shared" si="24"/>
        <v>0</v>
      </c>
      <c r="I783" s="10">
        <f t="shared" si="25"/>
        <v>0</v>
      </c>
      <c r="J783" s="35">
        <f>IF($I$11&gt;Table4[[#This Row],[Working Hours]],$F$6-Table4[[#This Row],[Working Hours]],0)</f>
        <v>0.33333333333333331</v>
      </c>
      <c r="K783" s="20" t="s">
        <v>240</v>
      </c>
    </row>
    <row r="784" spans="3:11" x14ac:dyDescent="0.25">
      <c r="C784" s="13" t="s">
        <v>52</v>
      </c>
      <c r="D784" s="8">
        <v>45676</v>
      </c>
      <c r="E784" s="7" t="s">
        <v>8</v>
      </c>
      <c r="F784" s="9"/>
      <c r="G784" s="9"/>
      <c r="H784" s="10">
        <f t="shared" si="24"/>
        <v>0</v>
      </c>
      <c r="I784" s="10">
        <f t="shared" si="25"/>
        <v>0</v>
      </c>
      <c r="J784" s="35">
        <f>IF($I$11&gt;Table4[[#This Row],[Working Hours]],$F$6-Table4[[#This Row],[Working Hours]],0)</f>
        <v>0.33333333333333331</v>
      </c>
      <c r="K784" s="20" t="s">
        <v>240</v>
      </c>
    </row>
    <row r="785" spans="3:11" x14ac:dyDescent="0.25">
      <c r="C785" s="13" t="s">
        <v>52</v>
      </c>
      <c r="D785" s="8">
        <v>45677</v>
      </c>
      <c r="E785" s="7" t="s">
        <v>20</v>
      </c>
      <c r="F785" s="9">
        <v>0.38541666666666669</v>
      </c>
      <c r="G785" s="9">
        <v>0.88611111111111107</v>
      </c>
      <c r="H785" s="10">
        <f t="shared" si="24"/>
        <v>5.208333333333337E-2</v>
      </c>
      <c r="I785" s="10">
        <f t="shared" si="25"/>
        <v>0.50069444444444433</v>
      </c>
      <c r="J785" s="35">
        <f>IF($I$11&gt;Table4[[#This Row],[Working Hours]],$F$6-Table4[[#This Row],[Working Hours]],0)</f>
        <v>0</v>
      </c>
      <c r="K785" s="20" t="s">
        <v>239</v>
      </c>
    </row>
    <row r="786" spans="3:11" x14ac:dyDescent="0.25">
      <c r="C786" s="13" t="s">
        <v>52</v>
      </c>
      <c r="D786" s="8">
        <v>45678</v>
      </c>
      <c r="E786" s="7" t="s">
        <v>21</v>
      </c>
      <c r="F786" s="9"/>
      <c r="G786" s="9"/>
      <c r="H786" s="10">
        <f t="shared" si="24"/>
        <v>0</v>
      </c>
      <c r="I786" s="10">
        <f t="shared" si="25"/>
        <v>0</v>
      </c>
      <c r="J786" s="35">
        <f>IF($I$11&gt;Table4[[#This Row],[Working Hours]],$F$6-Table4[[#This Row],[Working Hours]],0)</f>
        <v>0.33333333333333331</v>
      </c>
      <c r="K786" s="20" t="s">
        <v>238</v>
      </c>
    </row>
    <row r="787" spans="3:11" x14ac:dyDescent="0.25">
      <c r="C787" s="13" t="s">
        <v>52</v>
      </c>
      <c r="D787" s="8">
        <v>45679</v>
      </c>
      <c r="E787" s="7" t="s">
        <v>22</v>
      </c>
      <c r="F787" s="9">
        <v>0.35138888888888892</v>
      </c>
      <c r="G787" s="9">
        <v>0.85069444444444453</v>
      </c>
      <c r="H787" s="10">
        <f t="shared" si="24"/>
        <v>1.8055555555555602E-2</v>
      </c>
      <c r="I787" s="10">
        <f t="shared" si="25"/>
        <v>0.49930555555555561</v>
      </c>
      <c r="J787" s="35">
        <f>IF($I$11&gt;Table4[[#This Row],[Working Hours]],$F$6-Table4[[#This Row],[Working Hours]],0)</f>
        <v>0</v>
      </c>
      <c r="K787" s="20" t="s">
        <v>239</v>
      </c>
    </row>
    <row r="788" spans="3:11" x14ac:dyDescent="0.25">
      <c r="C788" s="13" t="s">
        <v>52</v>
      </c>
      <c r="D788" s="8">
        <v>45680</v>
      </c>
      <c r="E788" s="7" t="s">
        <v>18</v>
      </c>
      <c r="F788" s="9">
        <v>0.36527777777777781</v>
      </c>
      <c r="G788" s="9">
        <v>0.86041666666666661</v>
      </c>
      <c r="H788" s="10">
        <f t="shared" si="24"/>
        <v>3.1944444444444497E-2</v>
      </c>
      <c r="I788" s="10">
        <f t="shared" si="25"/>
        <v>0.4951388888888888</v>
      </c>
      <c r="J788" s="35">
        <f>IF($I$11&gt;Table4[[#This Row],[Working Hours]],$F$6-Table4[[#This Row],[Working Hours]],0)</f>
        <v>0</v>
      </c>
      <c r="K788" s="20" t="s">
        <v>239</v>
      </c>
    </row>
    <row r="789" spans="3:11" x14ac:dyDescent="0.25">
      <c r="C789" s="13" t="s">
        <v>52</v>
      </c>
      <c r="D789" s="8">
        <v>45681</v>
      </c>
      <c r="E789" s="7" t="s">
        <v>19</v>
      </c>
      <c r="F789" s="9">
        <v>0.36736111111111108</v>
      </c>
      <c r="G789" s="9">
        <v>0.87152777777777779</v>
      </c>
      <c r="H789" s="10">
        <f t="shared" si="24"/>
        <v>3.4027777777777768E-2</v>
      </c>
      <c r="I789" s="10">
        <f t="shared" si="25"/>
        <v>0.50416666666666665</v>
      </c>
      <c r="J789" s="35">
        <f>IF($I$11&gt;Table4[[#This Row],[Working Hours]],$F$6-Table4[[#This Row],[Working Hours]],0)</f>
        <v>0</v>
      </c>
      <c r="K789" s="20" t="s">
        <v>239</v>
      </c>
    </row>
    <row r="790" spans="3:11" x14ac:dyDescent="0.25">
      <c r="C790" s="13" t="s">
        <v>52</v>
      </c>
      <c r="D790" s="8">
        <v>45682</v>
      </c>
      <c r="E790" s="7" t="s">
        <v>7</v>
      </c>
      <c r="F790" s="9"/>
      <c r="G790" s="9"/>
      <c r="H790" s="10">
        <f t="shared" si="24"/>
        <v>0</v>
      </c>
      <c r="I790" s="10">
        <f t="shared" si="25"/>
        <v>0</v>
      </c>
      <c r="J790" s="35">
        <f>IF($I$11&gt;Table4[[#This Row],[Working Hours]],$F$6-Table4[[#This Row],[Working Hours]],0)</f>
        <v>0.33333333333333331</v>
      </c>
      <c r="K790" s="20" t="s">
        <v>240</v>
      </c>
    </row>
    <row r="791" spans="3:11" x14ac:dyDescent="0.25">
      <c r="C791" s="13" t="s">
        <v>52</v>
      </c>
      <c r="D791" s="8">
        <v>45683</v>
      </c>
      <c r="E791" s="7" t="s">
        <v>8</v>
      </c>
      <c r="F791" s="9"/>
      <c r="G791" s="9"/>
      <c r="H791" s="10">
        <f t="shared" si="24"/>
        <v>0</v>
      </c>
      <c r="I791" s="10">
        <f t="shared" si="25"/>
        <v>0</v>
      </c>
      <c r="J791" s="35">
        <f>IF($I$11&gt;Table4[[#This Row],[Working Hours]],$F$6-Table4[[#This Row],[Working Hours]],0)</f>
        <v>0.33333333333333331</v>
      </c>
      <c r="K791" s="20" t="s">
        <v>241</v>
      </c>
    </row>
    <row r="792" spans="3:11" x14ac:dyDescent="0.25">
      <c r="C792" s="13" t="s">
        <v>52</v>
      </c>
      <c r="D792" s="8">
        <v>45684</v>
      </c>
      <c r="E792" s="7" t="s">
        <v>20</v>
      </c>
      <c r="F792" s="9">
        <v>0.46666666666666662</v>
      </c>
      <c r="G792" s="9">
        <v>0.87291666666666667</v>
      </c>
      <c r="H792" s="10">
        <f t="shared" si="24"/>
        <v>0.1333333333333333</v>
      </c>
      <c r="I792" s="10">
        <f t="shared" si="25"/>
        <v>0.40625000000000006</v>
      </c>
      <c r="J792" s="35">
        <f>IF($I$11&gt;Table4[[#This Row],[Working Hours]],$F$6-Table4[[#This Row],[Working Hours]],0)</f>
        <v>0</v>
      </c>
      <c r="K792" s="20" t="s">
        <v>239</v>
      </c>
    </row>
    <row r="793" spans="3:11" x14ac:dyDescent="0.25">
      <c r="C793" s="13" t="s">
        <v>52</v>
      </c>
      <c r="D793" s="8">
        <v>45685</v>
      </c>
      <c r="E793" s="7" t="s">
        <v>21</v>
      </c>
      <c r="F793" s="9">
        <v>0.46527777777777773</v>
      </c>
      <c r="G793" s="9">
        <v>0.98958333333333337</v>
      </c>
      <c r="H793" s="10">
        <f t="shared" si="24"/>
        <v>0.13194444444444442</v>
      </c>
      <c r="I793" s="10">
        <f t="shared" si="25"/>
        <v>0.52430555555555558</v>
      </c>
      <c r="J793" s="35">
        <f>IF($I$11&gt;Table4[[#This Row],[Working Hours]],$F$6-Table4[[#This Row],[Working Hours]],0)</f>
        <v>0</v>
      </c>
      <c r="K793" s="20" t="s">
        <v>239</v>
      </c>
    </row>
    <row r="794" spans="3:11" x14ac:dyDescent="0.25">
      <c r="C794" s="13" t="s">
        <v>52</v>
      </c>
      <c r="D794" s="8">
        <v>45686</v>
      </c>
      <c r="E794" s="7" t="s">
        <v>22</v>
      </c>
      <c r="F794" s="9">
        <v>0.35555555555555557</v>
      </c>
      <c r="G794" s="9">
        <v>0.85902777777777783</v>
      </c>
      <c r="H794" s="10">
        <f t="shared" si="24"/>
        <v>2.2222222222222254E-2</v>
      </c>
      <c r="I794" s="10">
        <f t="shared" si="25"/>
        <v>0.50347222222222232</v>
      </c>
      <c r="J794" s="35">
        <f>IF($I$11&gt;Table4[[#This Row],[Working Hours]],$F$6-Table4[[#This Row],[Working Hours]],0)</f>
        <v>0</v>
      </c>
      <c r="K794" s="20" t="s">
        <v>239</v>
      </c>
    </row>
    <row r="795" spans="3:11" x14ac:dyDescent="0.25">
      <c r="C795" s="13" t="s">
        <v>52</v>
      </c>
      <c r="D795" s="8">
        <v>45687</v>
      </c>
      <c r="E795" s="7" t="s">
        <v>18</v>
      </c>
      <c r="F795" s="9">
        <v>0.43472222222222223</v>
      </c>
      <c r="G795" s="9">
        <v>0.99305555555555547</v>
      </c>
      <c r="H795" s="10">
        <f t="shared" si="24"/>
        <v>0.10138888888888892</v>
      </c>
      <c r="I795" s="10">
        <f t="shared" si="25"/>
        <v>0.55833333333333324</v>
      </c>
      <c r="J795" s="35">
        <f>IF($I$11&gt;Table4[[#This Row],[Working Hours]],$F$6-Table4[[#This Row],[Working Hours]],0)</f>
        <v>0</v>
      </c>
      <c r="K795" s="20" t="s">
        <v>239</v>
      </c>
    </row>
    <row r="796" spans="3:11" x14ac:dyDescent="0.25">
      <c r="C796" s="13" t="s">
        <v>52</v>
      </c>
      <c r="D796" s="8">
        <v>45688</v>
      </c>
      <c r="E796" s="7" t="s">
        <v>19</v>
      </c>
      <c r="F796" s="9">
        <v>0.34791666666666665</v>
      </c>
      <c r="G796" s="9">
        <v>0.90138888888888891</v>
      </c>
      <c r="H796" s="10">
        <f t="shared" si="24"/>
        <v>1.4583333333333337E-2</v>
      </c>
      <c r="I796" s="10">
        <f t="shared" si="25"/>
        <v>0.55347222222222225</v>
      </c>
      <c r="J796" s="35">
        <f>IF($I$11&gt;Table4[[#This Row],[Working Hours]],$F$6-Table4[[#This Row],[Working Hours]],0)</f>
        <v>0</v>
      </c>
      <c r="K796" s="20" t="s">
        <v>239</v>
      </c>
    </row>
    <row r="797" spans="3:11" x14ac:dyDescent="0.25">
      <c r="C797" s="13" t="s">
        <v>52</v>
      </c>
      <c r="D797" s="8">
        <v>45689</v>
      </c>
      <c r="E797" s="7" t="s">
        <v>7</v>
      </c>
      <c r="F797" s="9"/>
      <c r="G797" s="9"/>
      <c r="H797" s="10">
        <f t="shared" si="24"/>
        <v>0</v>
      </c>
      <c r="I797" s="10">
        <f t="shared" si="25"/>
        <v>0</v>
      </c>
      <c r="J797" s="35">
        <f>IF($I$11&gt;Table4[[#This Row],[Working Hours]],$F$6-Table4[[#This Row],[Working Hours]],0)</f>
        <v>0.33333333333333331</v>
      </c>
      <c r="K797" s="20" t="s">
        <v>240</v>
      </c>
    </row>
    <row r="798" spans="3:11" x14ac:dyDescent="0.25">
      <c r="C798" s="13" t="s">
        <v>52</v>
      </c>
      <c r="D798" s="8">
        <v>45690</v>
      </c>
      <c r="E798" s="7" t="s">
        <v>8</v>
      </c>
      <c r="F798" s="9"/>
      <c r="G798" s="9"/>
      <c r="H798" s="10">
        <f t="shared" si="24"/>
        <v>0</v>
      </c>
      <c r="I798" s="10">
        <f t="shared" si="25"/>
        <v>0</v>
      </c>
      <c r="J798" s="35">
        <f>IF($I$11&gt;Table4[[#This Row],[Working Hours]],$F$6-Table4[[#This Row],[Working Hours]],0)</f>
        <v>0.33333333333333331</v>
      </c>
      <c r="K798" s="20" t="s">
        <v>240</v>
      </c>
    </row>
    <row r="799" spans="3:11" x14ac:dyDescent="0.25">
      <c r="C799" s="13" t="s">
        <v>52</v>
      </c>
      <c r="D799" s="8">
        <v>45691</v>
      </c>
      <c r="E799" s="7" t="s">
        <v>20</v>
      </c>
      <c r="F799" s="9">
        <v>0.49791666666666662</v>
      </c>
      <c r="G799" s="9">
        <v>0.9159722222222223</v>
      </c>
      <c r="H799" s="10">
        <f t="shared" si="24"/>
        <v>0.1645833333333333</v>
      </c>
      <c r="I799" s="10">
        <f t="shared" si="25"/>
        <v>0.41805555555555568</v>
      </c>
      <c r="J799" s="35">
        <f>IF($I$11&gt;Table4[[#This Row],[Working Hours]],$F$6-Table4[[#This Row],[Working Hours]],0)</f>
        <v>0</v>
      </c>
      <c r="K799" s="20" t="s">
        <v>239</v>
      </c>
    </row>
    <row r="800" spans="3:11" x14ac:dyDescent="0.25">
      <c r="C800" s="13" t="s">
        <v>52</v>
      </c>
      <c r="D800" s="8">
        <v>45692</v>
      </c>
      <c r="E800" s="7" t="s">
        <v>21</v>
      </c>
      <c r="F800" s="9">
        <v>0.30138888888888887</v>
      </c>
      <c r="G800" s="9">
        <v>0.9916666666666667</v>
      </c>
      <c r="H800" s="10">
        <f t="shared" si="24"/>
        <v>0</v>
      </c>
      <c r="I800" s="10">
        <f t="shared" si="25"/>
        <v>0.69027777777777777</v>
      </c>
      <c r="J800" s="35">
        <f>IF($I$11&gt;Table4[[#This Row],[Working Hours]],$F$6-Table4[[#This Row],[Working Hours]],0)</f>
        <v>0</v>
      </c>
      <c r="K800" s="20" t="s">
        <v>239</v>
      </c>
    </row>
    <row r="801" spans="3:11" x14ac:dyDescent="0.25">
      <c r="C801" s="13" t="s">
        <v>52</v>
      </c>
      <c r="D801" s="8">
        <v>45693</v>
      </c>
      <c r="E801" s="7" t="s">
        <v>22</v>
      </c>
      <c r="F801" s="9">
        <v>0.47569444444444442</v>
      </c>
      <c r="G801" s="9">
        <v>0.95624999999999993</v>
      </c>
      <c r="H801" s="10">
        <f t="shared" si="24"/>
        <v>0.1423611111111111</v>
      </c>
      <c r="I801" s="10">
        <f t="shared" si="25"/>
        <v>0.48055555555555551</v>
      </c>
      <c r="J801" s="35">
        <f>IF($I$11&gt;Table4[[#This Row],[Working Hours]],$F$6-Table4[[#This Row],[Working Hours]],0)</f>
        <v>0</v>
      </c>
      <c r="K801" s="20" t="s">
        <v>239</v>
      </c>
    </row>
    <row r="802" spans="3:11" x14ac:dyDescent="0.25">
      <c r="C802" s="13" t="s">
        <v>52</v>
      </c>
      <c r="D802" s="8">
        <v>45694</v>
      </c>
      <c r="E802" s="7" t="s">
        <v>18</v>
      </c>
      <c r="F802" s="9">
        <v>0.44027777777777777</v>
      </c>
      <c r="G802" s="9">
        <v>0.8881944444444444</v>
      </c>
      <c r="H802" s="10">
        <f t="shared" si="24"/>
        <v>0.10694444444444445</v>
      </c>
      <c r="I802" s="10">
        <f t="shared" si="25"/>
        <v>0.44791666666666663</v>
      </c>
      <c r="J802" s="35">
        <f>IF($I$11&gt;Table4[[#This Row],[Working Hours]],$F$6-Table4[[#This Row],[Working Hours]],0)</f>
        <v>0</v>
      </c>
      <c r="K802" s="20" t="s">
        <v>239</v>
      </c>
    </row>
    <row r="803" spans="3:11" x14ac:dyDescent="0.25">
      <c r="C803" s="13" t="s">
        <v>52</v>
      </c>
      <c r="D803" s="8">
        <v>45695</v>
      </c>
      <c r="E803" s="7" t="s">
        <v>19</v>
      </c>
      <c r="F803" s="9">
        <v>0.43194444444444446</v>
      </c>
      <c r="G803" s="9">
        <v>0.9277777777777777</v>
      </c>
      <c r="H803" s="10">
        <f t="shared" si="24"/>
        <v>9.8611111111111149E-2</v>
      </c>
      <c r="I803" s="10">
        <f t="shared" si="25"/>
        <v>0.49583333333333324</v>
      </c>
      <c r="J803" s="35">
        <f>IF($I$11&gt;Table4[[#This Row],[Working Hours]],$F$6-Table4[[#This Row],[Working Hours]],0)</f>
        <v>0</v>
      </c>
      <c r="K803" s="20" t="s">
        <v>239</v>
      </c>
    </row>
    <row r="804" spans="3:11" x14ac:dyDescent="0.25">
      <c r="C804" s="13" t="s">
        <v>52</v>
      </c>
      <c r="D804" s="8">
        <v>45696</v>
      </c>
      <c r="E804" s="7" t="s">
        <v>7</v>
      </c>
      <c r="F804" s="9"/>
      <c r="G804" s="9"/>
      <c r="H804" s="10">
        <f t="shared" si="24"/>
        <v>0</v>
      </c>
      <c r="I804" s="10">
        <f t="shared" si="25"/>
        <v>0</v>
      </c>
      <c r="J804" s="35">
        <f>IF($I$11&gt;Table4[[#This Row],[Working Hours]],$F$6-Table4[[#This Row],[Working Hours]],0)</f>
        <v>0.33333333333333331</v>
      </c>
      <c r="K804" s="20" t="s">
        <v>240</v>
      </c>
    </row>
    <row r="805" spans="3:11" x14ac:dyDescent="0.25">
      <c r="C805" s="13" t="s">
        <v>52</v>
      </c>
      <c r="D805" s="8">
        <v>45697</v>
      </c>
      <c r="E805" s="7" t="s">
        <v>8</v>
      </c>
      <c r="F805" s="9"/>
      <c r="G805" s="9"/>
      <c r="H805" s="10">
        <f t="shared" si="24"/>
        <v>0</v>
      </c>
      <c r="I805" s="10">
        <f t="shared" si="25"/>
        <v>0</v>
      </c>
      <c r="J805" s="35">
        <f>IF($I$11&gt;Table4[[#This Row],[Working Hours]],$F$6-Table4[[#This Row],[Working Hours]],0)</f>
        <v>0.33333333333333331</v>
      </c>
      <c r="K805" s="20" t="s">
        <v>240</v>
      </c>
    </row>
    <row r="806" spans="3:11" x14ac:dyDescent="0.25">
      <c r="C806" s="13" t="s">
        <v>52</v>
      </c>
      <c r="D806" s="8">
        <v>45698</v>
      </c>
      <c r="E806" s="7" t="s">
        <v>20</v>
      </c>
      <c r="F806" s="9">
        <v>0.43402777777777773</v>
      </c>
      <c r="G806" s="9">
        <v>0.92986111111111114</v>
      </c>
      <c r="H806" s="10">
        <f t="shared" si="24"/>
        <v>0.10069444444444442</v>
      </c>
      <c r="I806" s="10">
        <f t="shared" si="25"/>
        <v>0.4958333333333334</v>
      </c>
      <c r="J806" s="35">
        <f>IF($I$11&gt;Table4[[#This Row],[Working Hours]],$F$6-Table4[[#This Row],[Working Hours]],0)</f>
        <v>0</v>
      </c>
      <c r="K806" s="20" t="s">
        <v>239</v>
      </c>
    </row>
    <row r="807" spans="3:11" x14ac:dyDescent="0.25">
      <c r="C807" s="13" t="s">
        <v>52</v>
      </c>
      <c r="D807" s="8">
        <v>45699</v>
      </c>
      <c r="E807" s="7" t="s">
        <v>21</v>
      </c>
      <c r="F807" s="9">
        <v>0.48888888888888887</v>
      </c>
      <c r="G807" s="9">
        <v>0.84583333333333333</v>
      </c>
      <c r="H807" s="10">
        <f t="shared" si="24"/>
        <v>0.15555555555555556</v>
      </c>
      <c r="I807" s="10">
        <f t="shared" si="25"/>
        <v>0.35694444444444445</v>
      </c>
      <c r="J807" s="35">
        <v>0</v>
      </c>
      <c r="K807" s="20" t="s">
        <v>239</v>
      </c>
    </row>
    <row r="808" spans="3:11" x14ac:dyDescent="0.25">
      <c r="C808" s="13" t="s">
        <v>52</v>
      </c>
      <c r="D808" s="8">
        <v>45700</v>
      </c>
      <c r="E808" s="7" t="s">
        <v>22</v>
      </c>
      <c r="F808" s="9">
        <v>0.33263888888888887</v>
      </c>
      <c r="G808" s="9">
        <v>0.90972222222222221</v>
      </c>
      <c r="H808" s="10">
        <f t="shared" si="24"/>
        <v>0</v>
      </c>
      <c r="I808" s="10">
        <f t="shared" si="25"/>
        <v>0.57708333333333339</v>
      </c>
      <c r="J808" s="35">
        <f>IF($I$11&gt;Table4[[#This Row],[Working Hours]],$F$6-Table4[[#This Row],[Working Hours]],0)</f>
        <v>0</v>
      </c>
      <c r="K808" s="20" t="s">
        <v>239</v>
      </c>
    </row>
    <row r="809" spans="3:11" x14ac:dyDescent="0.25">
      <c r="C809" s="13" t="s">
        <v>52</v>
      </c>
      <c r="D809" s="8">
        <v>45701</v>
      </c>
      <c r="E809" s="7" t="s">
        <v>18</v>
      </c>
      <c r="F809" s="9">
        <v>0.4916666666666667</v>
      </c>
      <c r="G809" s="9">
        <v>0.97013888888888899</v>
      </c>
      <c r="H809" s="10">
        <f t="shared" si="24"/>
        <v>0.15833333333333338</v>
      </c>
      <c r="I809" s="10">
        <f t="shared" si="25"/>
        <v>0.4784722222222223</v>
      </c>
      <c r="J809" s="35">
        <f>IF($I$11&gt;Table4[[#This Row],[Working Hours]],$F$6-Table4[[#This Row],[Working Hours]],0)</f>
        <v>0</v>
      </c>
      <c r="K809" s="20" t="s">
        <v>239</v>
      </c>
    </row>
    <row r="810" spans="3:11" x14ac:dyDescent="0.25">
      <c r="C810" s="13" t="s">
        <v>52</v>
      </c>
      <c r="D810" s="8">
        <v>45702</v>
      </c>
      <c r="E810" s="7" t="s">
        <v>19</v>
      </c>
      <c r="F810" s="9">
        <v>0.41736111111111113</v>
      </c>
      <c r="G810" s="9">
        <v>0.90555555555555556</v>
      </c>
      <c r="H810" s="10">
        <f t="shared" si="24"/>
        <v>8.4027777777777812E-2</v>
      </c>
      <c r="I810" s="10">
        <f t="shared" si="25"/>
        <v>0.48819444444444443</v>
      </c>
      <c r="J810" s="35">
        <f>IF($I$11&gt;Table4[[#This Row],[Working Hours]],$F$6-Table4[[#This Row],[Working Hours]],0)</f>
        <v>0</v>
      </c>
      <c r="K810" s="20" t="s">
        <v>239</v>
      </c>
    </row>
    <row r="811" spans="3:11" x14ac:dyDescent="0.25">
      <c r="C811" s="13" t="s">
        <v>52</v>
      </c>
      <c r="D811" s="8">
        <v>45703</v>
      </c>
      <c r="E811" s="7" t="s">
        <v>7</v>
      </c>
      <c r="F811" s="9"/>
      <c r="G811" s="9"/>
      <c r="H811" s="10">
        <f t="shared" si="24"/>
        <v>0</v>
      </c>
      <c r="I811" s="10">
        <f t="shared" si="25"/>
        <v>0</v>
      </c>
      <c r="J811" s="35">
        <f>IF($I$11&gt;Table4[[#This Row],[Working Hours]],$F$6-Table4[[#This Row],[Working Hours]],0)</f>
        <v>0.33333333333333331</v>
      </c>
      <c r="K811" s="20" t="s">
        <v>240</v>
      </c>
    </row>
    <row r="812" spans="3:11" x14ac:dyDescent="0.25">
      <c r="C812" s="13" t="s">
        <v>52</v>
      </c>
      <c r="D812" s="8">
        <v>45704</v>
      </c>
      <c r="E812" s="7" t="s">
        <v>8</v>
      </c>
      <c r="F812" s="9"/>
      <c r="G812" s="9"/>
      <c r="H812" s="10">
        <f t="shared" si="24"/>
        <v>0</v>
      </c>
      <c r="I812" s="10">
        <f t="shared" si="25"/>
        <v>0</v>
      </c>
      <c r="J812" s="35">
        <f>IF($I$11&gt;Table4[[#This Row],[Working Hours]],$F$6-Table4[[#This Row],[Working Hours]],0)</f>
        <v>0.33333333333333331</v>
      </c>
      <c r="K812" s="20" t="s">
        <v>240</v>
      </c>
    </row>
    <row r="813" spans="3:11" x14ac:dyDescent="0.25">
      <c r="C813" s="13" t="s">
        <v>52</v>
      </c>
      <c r="D813" s="8">
        <v>45705</v>
      </c>
      <c r="E813" s="7" t="s">
        <v>20</v>
      </c>
      <c r="F813" s="9">
        <v>0.35902777777777778</v>
      </c>
      <c r="G813" s="9">
        <v>0.9</v>
      </c>
      <c r="H813" s="10">
        <f t="shared" si="24"/>
        <v>2.5694444444444464E-2</v>
      </c>
      <c r="I813" s="10">
        <f t="shared" si="25"/>
        <v>0.54097222222222219</v>
      </c>
      <c r="J813" s="35">
        <f>IF($I$11&gt;Table4[[#This Row],[Working Hours]],$F$6-Table4[[#This Row],[Working Hours]],0)</f>
        <v>0</v>
      </c>
      <c r="K813" s="20" t="s">
        <v>239</v>
      </c>
    </row>
    <row r="814" spans="3:11" x14ac:dyDescent="0.25">
      <c r="C814" s="13" t="s">
        <v>52</v>
      </c>
      <c r="D814" s="8">
        <v>45706</v>
      </c>
      <c r="E814" s="7" t="s">
        <v>21</v>
      </c>
      <c r="F814" s="9">
        <v>0.31180555555555556</v>
      </c>
      <c r="G814" s="9">
        <v>0.84513888888888899</v>
      </c>
      <c r="H814" s="10">
        <f t="shared" si="24"/>
        <v>0</v>
      </c>
      <c r="I814" s="10">
        <f t="shared" si="25"/>
        <v>0.53333333333333344</v>
      </c>
      <c r="J814" s="35">
        <f>IF($I$11&gt;Table4[[#This Row],[Working Hours]],$F$6-Table4[[#This Row],[Working Hours]],0)</f>
        <v>0</v>
      </c>
      <c r="K814" s="20" t="s">
        <v>239</v>
      </c>
    </row>
    <row r="815" spans="3:11" x14ac:dyDescent="0.25">
      <c r="C815" s="13" t="s">
        <v>52</v>
      </c>
      <c r="D815" s="8">
        <v>45707</v>
      </c>
      <c r="E815" s="7" t="s">
        <v>22</v>
      </c>
      <c r="F815" s="9">
        <v>0.42291666666666666</v>
      </c>
      <c r="G815" s="9">
        <v>0.88541666666666663</v>
      </c>
      <c r="H815" s="10">
        <f t="shared" si="24"/>
        <v>8.9583333333333348E-2</v>
      </c>
      <c r="I815" s="10">
        <f t="shared" si="25"/>
        <v>0.46249999999999997</v>
      </c>
      <c r="J815" s="35">
        <f>IF($I$11&gt;Table4[[#This Row],[Working Hours]],$F$6-Table4[[#This Row],[Working Hours]],0)</f>
        <v>0</v>
      </c>
      <c r="K815" s="20" t="s">
        <v>239</v>
      </c>
    </row>
    <row r="816" spans="3:11" x14ac:dyDescent="0.25">
      <c r="C816" s="13" t="s">
        <v>52</v>
      </c>
      <c r="D816" s="8">
        <v>45708</v>
      </c>
      <c r="E816" s="7" t="s">
        <v>18</v>
      </c>
      <c r="F816" s="9">
        <v>0.43055555555555558</v>
      </c>
      <c r="G816" s="9">
        <v>0.99652777777777779</v>
      </c>
      <c r="H816" s="10">
        <f t="shared" si="24"/>
        <v>9.7222222222222265E-2</v>
      </c>
      <c r="I816" s="10">
        <f t="shared" si="25"/>
        <v>0.56597222222222221</v>
      </c>
      <c r="J816" s="35">
        <f>IF($I$11&gt;Table4[[#This Row],[Working Hours]],$F$6-Table4[[#This Row],[Working Hours]],0)</f>
        <v>0</v>
      </c>
      <c r="K816" s="20" t="s">
        <v>239</v>
      </c>
    </row>
    <row r="817" spans="3:11" x14ac:dyDescent="0.25">
      <c r="C817" s="13" t="s">
        <v>52</v>
      </c>
      <c r="D817" s="8">
        <v>45709</v>
      </c>
      <c r="E817" s="7" t="s">
        <v>19</v>
      </c>
      <c r="F817" s="9">
        <v>0.32847222222222222</v>
      </c>
      <c r="G817" s="9">
        <v>0.89027777777777783</v>
      </c>
      <c r="H817" s="10">
        <f t="shared" si="24"/>
        <v>0</v>
      </c>
      <c r="I817" s="10">
        <f t="shared" si="25"/>
        <v>0.56180555555555567</v>
      </c>
      <c r="J817" s="35">
        <f>IF($I$11&gt;Table4[[#This Row],[Working Hours]],$F$6-Table4[[#This Row],[Working Hours]],0)</f>
        <v>0</v>
      </c>
      <c r="K817" s="20" t="s">
        <v>239</v>
      </c>
    </row>
    <row r="818" spans="3:11" x14ac:dyDescent="0.25">
      <c r="C818" s="13" t="s">
        <v>52</v>
      </c>
      <c r="D818" s="8">
        <v>45710</v>
      </c>
      <c r="E818" s="7" t="s">
        <v>7</v>
      </c>
      <c r="F818" s="9"/>
      <c r="G818" s="9"/>
      <c r="H818" s="10">
        <f t="shared" si="24"/>
        <v>0</v>
      </c>
      <c r="I818" s="10">
        <f t="shared" si="25"/>
        <v>0</v>
      </c>
      <c r="J818" s="35">
        <f>IF($I$11&gt;Table4[[#This Row],[Working Hours]],$F$6-Table4[[#This Row],[Working Hours]],0)</f>
        <v>0.33333333333333331</v>
      </c>
      <c r="K818" s="20" t="s">
        <v>240</v>
      </c>
    </row>
    <row r="819" spans="3:11" x14ac:dyDescent="0.25">
      <c r="C819" s="13" t="s">
        <v>52</v>
      </c>
      <c r="D819" s="8">
        <v>45711</v>
      </c>
      <c r="E819" s="7" t="s">
        <v>8</v>
      </c>
      <c r="F819" s="9"/>
      <c r="G819" s="9"/>
      <c r="H819" s="10">
        <f t="shared" si="24"/>
        <v>0</v>
      </c>
      <c r="I819" s="10">
        <f t="shared" si="25"/>
        <v>0</v>
      </c>
      <c r="J819" s="35">
        <f>IF($I$11&gt;Table4[[#This Row],[Working Hours]],$F$6-Table4[[#This Row],[Working Hours]],0)</f>
        <v>0.33333333333333331</v>
      </c>
      <c r="K819" s="20" t="s">
        <v>240</v>
      </c>
    </row>
    <row r="820" spans="3:11" x14ac:dyDescent="0.25">
      <c r="C820" s="13" t="s">
        <v>52</v>
      </c>
      <c r="D820" s="8">
        <v>45712</v>
      </c>
      <c r="E820" s="7" t="s">
        <v>20</v>
      </c>
      <c r="F820" s="9">
        <v>0.30555555555555552</v>
      </c>
      <c r="G820" s="9">
        <v>0.89722222222222225</v>
      </c>
      <c r="H820" s="10">
        <f t="shared" si="24"/>
        <v>0</v>
      </c>
      <c r="I820" s="10">
        <f t="shared" si="25"/>
        <v>0.59166666666666679</v>
      </c>
      <c r="J820" s="35">
        <f>IF($I$11&gt;Table4[[#This Row],[Working Hours]],$F$6-Table4[[#This Row],[Working Hours]],0)</f>
        <v>0</v>
      </c>
      <c r="K820" s="20" t="s">
        <v>239</v>
      </c>
    </row>
    <row r="821" spans="3:11" x14ac:dyDescent="0.25">
      <c r="C821" s="13" t="s">
        <v>52</v>
      </c>
      <c r="D821" s="8">
        <v>45713</v>
      </c>
      <c r="E821" s="7" t="s">
        <v>21</v>
      </c>
      <c r="F821" s="9">
        <v>0.45347222222222222</v>
      </c>
      <c r="G821" s="9">
        <v>0.99722222222222223</v>
      </c>
      <c r="H821" s="10">
        <f t="shared" si="24"/>
        <v>0.12013888888888891</v>
      </c>
      <c r="I821" s="10">
        <f t="shared" si="25"/>
        <v>0.54374999999999996</v>
      </c>
      <c r="J821" s="35">
        <f>IF($I$11&gt;Table4[[#This Row],[Working Hours]],$F$6-Table4[[#This Row],[Working Hours]],0)</f>
        <v>0</v>
      </c>
      <c r="K821" s="20" t="s">
        <v>239</v>
      </c>
    </row>
    <row r="822" spans="3:11" x14ac:dyDescent="0.25">
      <c r="C822" s="13" t="s">
        <v>52</v>
      </c>
      <c r="D822" s="8">
        <v>45714</v>
      </c>
      <c r="E822" s="7" t="s">
        <v>22</v>
      </c>
      <c r="F822" s="9">
        <v>0.41319444444444442</v>
      </c>
      <c r="G822" s="9">
        <v>0.99097222222222225</v>
      </c>
      <c r="H822" s="10">
        <f t="shared" si="24"/>
        <v>7.9861111111111105E-2</v>
      </c>
      <c r="I822" s="10">
        <f t="shared" si="25"/>
        <v>0.57777777777777783</v>
      </c>
      <c r="J822" s="35">
        <f>IF($I$11&gt;Table4[[#This Row],[Working Hours]],$F$6-Table4[[#This Row],[Working Hours]],0)</f>
        <v>0</v>
      </c>
      <c r="K822" s="20" t="s">
        <v>239</v>
      </c>
    </row>
    <row r="823" spans="3:11" x14ac:dyDescent="0.25">
      <c r="C823" s="13" t="s">
        <v>52</v>
      </c>
      <c r="D823" s="8">
        <v>45715</v>
      </c>
      <c r="E823" s="7" t="s">
        <v>18</v>
      </c>
      <c r="F823" s="9">
        <v>0.42777777777777781</v>
      </c>
      <c r="G823" s="9">
        <v>0.85277777777777775</v>
      </c>
      <c r="H823" s="10">
        <f t="shared" si="24"/>
        <v>9.4444444444444497E-2</v>
      </c>
      <c r="I823" s="10">
        <f t="shared" si="25"/>
        <v>0.42499999999999993</v>
      </c>
      <c r="J823" s="35">
        <f>IF($I$11&gt;Table4[[#This Row],[Working Hours]],$F$6-Table4[[#This Row],[Working Hours]],0)</f>
        <v>0</v>
      </c>
      <c r="K823" s="20" t="s">
        <v>239</v>
      </c>
    </row>
    <row r="824" spans="3:11" x14ac:dyDescent="0.25">
      <c r="C824" s="13" t="s">
        <v>52</v>
      </c>
      <c r="D824" s="8">
        <v>45716</v>
      </c>
      <c r="E824" s="7" t="s">
        <v>19</v>
      </c>
      <c r="F824" s="9">
        <v>0.32569444444444445</v>
      </c>
      <c r="G824" s="9">
        <v>0.97916666666666663</v>
      </c>
      <c r="H824" s="10">
        <f t="shared" si="24"/>
        <v>0</v>
      </c>
      <c r="I824" s="10">
        <f t="shared" si="25"/>
        <v>0.65347222222222223</v>
      </c>
      <c r="J824" s="35">
        <f>IF($I$11&gt;Table4[[#This Row],[Working Hours]],$F$6-Table4[[#This Row],[Working Hours]],0)</f>
        <v>0</v>
      </c>
      <c r="K824" s="20" t="s">
        <v>239</v>
      </c>
    </row>
    <row r="825" spans="3:11" x14ac:dyDescent="0.25">
      <c r="C825" s="13" t="s">
        <v>52</v>
      </c>
      <c r="D825" s="8">
        <v>45717</v>
      </c>
      <c r="E825" s="7" t="s">
        <v>7</v>
      </c>
      <c r="F825" s="9"/>
      <c r="G825" s="9"/>
      <c r="H825" s="10">
        <f t="shared" si="24"/>
        <v>0</v>
      </c>
      <c r="I825" s="10">
        <f t="shared" si="25"/>
        <v>0</v>
      </c>
      <c r="J825" s="35">
        <f>IF($I$11&gt;Table4[[#This Row],[Working Hours]],$F$6-Table4[[#This Row],[Working Hours]],0)</f>
        <v>0.33333333333333331</v>
      </c>
      <c r="K825" s="20" t="s">
        <v>240</v>
      </c>
    </row>
    <row r="826" spans="3:11" x14ac:dyDescent="0.25">
      <c r="C826" s="13" t="s">
        <v>52</v>
      </c>
      <c r="D826" s="8">
        <v>45718</v>
      </c>
      <c r="E826" s="7" t="s">
        <v>8</v>
      </c>
      <c r="F826" s="9"/>
      <c r="G826" s="9"/>
      <c r="H826" s="10">
        <f t="shared" si="24"/>
        <v>0</v>
      </c>
      <c r="I826" s="10">
        <f t="shared" si="25"/>
        <v>0</v>
      </c>
      <c r="J826" s="35">
        <f>IF($I$11&gt;Table4[[#This Row],[Working Hours]],$F$6-Table4[[#This Row],[Working Hours]],0)</f>
        <v>0.33333333333333331</v>
      </c>
      <c r="K826" s="20" t="s">
        <v>240</v>
      </c>
    </row>
    <row r="827" spans="3:11" x14ac:dyDescent="0.25">
      <c r="C827" s="13" t="s">
        <v>52</v>
      </c>
      <c r="D827" s="8">
        <v>45719</v>
      </c>
      <c r="E827" s="7" t="s">
        <v>20</v>
      </c>
      <c r="F827" s="9">
        <v>0.36249999999999999</v>
      </c>
      <c r="G827" s="9">
        <v>0.9916666666666667</v>
      </c>
      <c r="H827" s="10">
        <f t="shared" si="24"/>
        <v>2.9166666666666674E-2</v>
      </c>
      <c r="I827" s="10">
        <f t="shared" si="25"/>
        <v>0.62916666666666665</v>
      </c>
      <c r="J827" s="35">
        <f>IF($I$11&gt;Table4[[#This Row],[Working Hours]],$F$6-Table4[[#This Row],[Working Hours]],0)</f>
        <v>0</v>
      </c>
      <c r="K827" s="20" t="s">
        <v>239</v>
      </c>
    </row>
    <row r="828" spans="3:11" x14ac:dyDescent="0.25">
      <c r="C828" s="13" t="s">
        <v>52</v>
      </c>
      <c r="D828" s="8">
        <v>45720</v>
      </c>
      <c r="E828" s="7" t="s">
        <v>21</v>
      </c>
      <c r="F828" s="9">
        <v>0.35902777777777778</v>
      </c>
      <c r="G828" s="9">
        <v>0.86875000000000002</v>
      </c>
      <c r="H828" s="10">
        <f t="shared" si="24"/>
        <v>2.5694444444444464E-2</v>
      </c>
      <c r="I828" s="10">
        <f t="shared" si="25"/>
        <v>0.50972222222222219</v>
      </c>
      <c r="J828" s="35">
        <f>IF($I$11&gt;Table4[[#This Row],[Working Hours]],$F$6-Table4[[#This Row],[Working Hours]],0)</f>
        <v>0</v>
      </c>
      <c r="K828" s="20" t="s">
        <v>239</v>
      </c>
    </row>
    <row r="829" spans="3:11" x14ac:dyDescent="0.25">
      <c r="C829" s="13" t="s">
        <v>52</v>
      </c>
      <c r="D829" s="8">
        <v>45721</v>
      </c>
      <c r="E829" s="7" t="s">
        <v>22</v>
      </c>
      <c r="F829" s="9">
        <v>0.3888888888888889</v>
      </c>
      <c r="G829" s="9">
        <v>0.89097222222222217</v>
      </c>
      <c r="H829" s="10">
        <f t="shared" si="24"/>
        <v>5.555555555555558E-2</v>
      </c>
      <c r="I829" s="10">
        <f t="shared" si="25"/>
        <v>0.50208333333333321</v>
      </c>
      <c r="J829" s="35">
        <f>IF($I$11&gt;Table4[[#This Row],[Working Hours]],$F$6-Table4[[#This Row],[Working Hours]],0)</f>
        <v>0</v>
      </c>
      <c r="K829" s="20" t="s">
        <v>239</v>
      </c>
    </row>
    <row r="830" spans="3:11" x14ac:dyDescent="0.25">
      <c r="C830" s="13" t="s">
        <v>52</v>
      </c>
      <c r="D830" s="8">
        <v>45722</v>
      </c>
      <c r="E830" s="7" t="s">
        <v>18</v>
      </c>
      <c r="F830" s="9">
        <v>0.35902777777777778</v>
      </c>
      <c r="G830" s="9">
        <v>0.90972222222222221</v>
      </c>
      <c r="H830" s="10">
        <f t="shared" si="24"/>
        <v>2.5694444444444464E-2</v>
      </c>
      <c r="I830" s="10">
        <f t="shared" si="25"/>
        <v>0.55069444444444438</v>
      </c>
      <c r="J830" s="35">
        <f>IF($I$11&gt;Table4[[#This Row],[Working Hours]],$F$6-Table4[[#This Row],[Working Hours]],0)</f>
        <v>0</v>
      </c>
      <c r="K830" s="20" t="s">
        <v>239</v>
      </c>
    </row>
    <row r="831" spans="3:11" x14ac:dyDescent="0.25">
      <c r="C831" s="13" t="s">
        <v>52</v>
      </c>
      <c r="D831" s="8">
        <v>45723</v>
      </c>
      <c r="E831" s="7" t="s">
        <v>19</v>
      </c>
      <c r="F831" s="9">
        <v>0.42638888888888887</v>
      </c>
      <c r="G831" s="9">
        <v>0.90208333333333324</v>
      </c>
      <c r="H831" s="10">
        <f t="shared" si="24"/>
        <v>9.3055555555555558E-2</v>
      </c>
      <c r="I831" s="10">
        <f t="shared" si="25"/>
        <v>0.47569444444444436</v>
      </c>
      <c r="J831" s="35">
        <f>IF($I$11&gt;Table4[[#This Row],[Working Hours]],$F$6-Table4[[#This Row],[Working Hours]],0)</f>
        <v>0</v>
      </c>
      <c r="K831" s="20" t="s">
        <v>239</v>
      </c>
    </row>
    <row r="832" spans="3:11" x14ac:dyDescent="0.25">
      <c r="C832" s="13" t="s">
        <v>52</v>
      </c>
      <c r="D832" s="8">
        <v>45724</v>
      </c>
      <c r="E832" s="7" t="s">
        <v>7</v>
      </c>
      <c r="F832" s="9"/>
      <c r="G832" s="9"/>
      <c r="H832" s="10">
        <f t="shared" si="24"/>
        <v>0</v>
      </c>
      <c r="I832" s="10">
        <f t="shared" si="25"/>
        <v>0</v>
      </c>
      <c r="J832" s="35">
        <f>IF($I$11&gt;Table4[[#This Row],[Working Hours]],$F$6-Table4[[#This Row],[Working Hours]],0)</f>
        <v>0.33333333333333331</v>
      </c>
      <c r="K832" s="20" t="s">
        <v>240</v>
      </c>
    </row>
    <row r="833" spans="3:11" x14ac:dyDescent="0.25">
      <c r="C833" s="13" t="s">
        <v>52</v>
      </c>
      <c r="D833" s="8">
        <v>45725</v>
      </c>
      <c r="E833" s="7" t="s">
        <v>8</v>
      </c>
      <c r="F833" s="9"/>
      <c r="G833" s="9"/>
      <c r="H833" s="10">
        <f t="shared" si="24"/>
        <v>0</v>
      </c>
      <c r="I833" s="10">
        <f t="shared" si="25"/>
        <v>0</v>
      </c>
      <c r="J833" s="35">
        <f>IF($I$11&gt;Table4[[#This Row],[Working Hours]],$F$6-Table4[[#This Row],[Working Hours]],0)</f>
        <v>0.33333333333333331</v>
      </c>
      <c r="K833" s="20" t="s">
        <v>240</v>
      </c>
    </row>
    <row r="834" spans="3:11" x14ac:dyDescent="0.25">
      <c r="C834" s="13" t="s">
        <v>52</v>
      </c>
      <c r="D834" s="8">
        <v>45726</v>
      </c>
      <c r="E834" s="7" t="s">
        <v>20</v>
      </c>
      <c r="F834" s="9">
        <v>0.47083333333333338</v>
      </c>
      <c r="G834" s="9">
        <v>0.97569444444444453</v>
      </c>
      <c r="H834" s="10">
        <f t="shared" si="24"/>
        <v>0.13750000000000007</v>
      </c>
      <c r="I834" s="10">
        <f t="shared" si="25"/>
        <v>0.5048611111111112</v>
      </c>
      <c r="J834" s="35">
        <f>IF($I$11&gt;Table4[[#This Row],[Working Hours]],$F$6-Table4[[#This Row],[Working Hours]],0)</f>
        <v>0</v>
      </c>
      <c r="K834" s="20" t="s">
        <v>239</v>
      </c>
    </row>
    <row r="835" spans="3:11" x14ac:dyDescent="0.25">
      <c r="C835" s="13" t="s">
        <v>52</v>
      </c>
      <c r="D835" s="8">
        <v>45727</v>
      </c>
      <c r="E835" s="7" t="s">
        <v>21</v>
      </c>
      <c r="F835" s="9">
        <v>0.3347222222222222</v>
      </c>
      <c r="G835" s="9">
        <v>0.84722222222222221</v>
      </c>
      <c r="H835" s="10">
        <f t="shared" si="24"/>
        <v>1.388888888888884E-3</v>
      </c>
      <c r="I835" s="10">
        <f t="shared" si="25"/>
        <v>0.51249999999999996</v>
      </c>
      <c r="J835" s="35">
        <f>IF($I$11&gt;Table4[[#This Row],[Working Hours]],$F$6-Table4[[#This Row],[Working Hours]],0)</f>
        <v>0</v>
      </c>
      <c r="K835" s="20" t="s">
        <v>239</v>
      </c>
    </row>
    <row r="836" spans="3:11" x14ac:dyDescent="0.25">
      <c r="C836" s="13" t="s">
        <v>52</v>
      </c>
      <c r="D836" s="8">
        <v>45728</v>
      </c>
      <c r="E836" s="7" t="s">
        <v>22</v>
      </c>
      <c r="F836" s="9">
        <v>0.43611111111111112</v>
      </c>
      <c r="G836" s="9">
        <v>0.95694444444444438</v>
      </c>
      <c r="H836" s="10">
        <f t="shared" si="24"/>
        <v>0.1027777777777778</v>
      </c>
      <c r="I836" s="10">
        <f t="shared" si="25"/>
        <v>0.52083333333333326</v>
      </c>
      <c r="J836" s="35">
        <f>IF($I$11&gt;Table4[[#This Row],[Working Hours]],$F$6-Table4[[#This Row],[Working Hours]],0)</f>
        <v>0</v>
      </c>
      <c r="K836" s="20" t="s">
        <v>239</v>
      </c>
    </row>
    <row r="837" spans="3:11" x14ac:dyDescent="0.25">
      <c r="C837" s="13" t="s">
        <v>52</v>
      </c>
      <c r="D837" s="8">
        <v>45729</v>
      </c>
      <c r="E837" s="7" t="s">
        <v>18</v>
      </c>
      <c r="F837" s="9">
        <v>0.3979166666666667</v>
      </c>
      <c r="G837" s="9">
        <v>0.93125000000000002</v>
      </c>
      <c r="H837" s="10">
        <f t="shared" si="24"/>
        <v>6.4583333333333381E-2</v>
      </c>
      <c r="I837" s="10">
        <f t="shared" si="25"/>
        <v>0.53333333333333333</v>
      </c>
      <c r="J837" s="35">
        <f>IF($I$11&gt;Table4[[#This Row],[Working Hours]],$F$6-Table4[[#This Row],[Working Hours]],0)</f>
        <v>0</v>
      </c>
      <c r="K837" s="20" t="s">
        <v>239</v>
      </c>
    </row>
    <row r="838" spans="3:11" x14ac:dyDescent="0.25">
      <c r="C838" s="13" t="s">
        <v>52</v>
      </c>
      <c r="D838" s="8">
        <v>45730</v>
      </c>
      <c r="E838" s="7" t="s">
        <v>19</v>
      </c>
      <c r="F838" s="9"/>
      <c r="G838" s="9"/>
      <c r="H838" s="10">
        <f t="shared" si="24"/>
        <v>0</v>
      </c>
      <c r="I838" s="10">
        <f t="shared" si="25"/>
        <v>0</v>
      </c>
      <c r="J838" s="35">
        <f>IF($I$11&gt;Table4[[#This Row],[Working Hours]],$F$6-Table4[[#This Row],[Working Hours]],0)</f>
        <v>0.33333333333333331</v>
      </c>
      <c r="K838" s="20" t="s">
        <v>70</v>
      </c>
    </row>
    <row r="839" spans="3:11" x14ac:dyDescent="0.25">
      <c r="C839" s="13" t="s">
        <v>52</v>
      </c>
      <c r="D839" s="8">
        <v>45731</v>
      </c>
      <c r="E839" s="7" t="s">
        <v>7</v>
      </c>
      <c r="F839" s="9"/>
      <c r="G839" s="9"/>
      <c r="H839" s="10">
        <f t="shared" si="24"/>
        <v>0</v>
      </c>
      <c r="I839" s="10">
        <f t="shared" si="25"/>
        <v>0</v>
      </c>
      <c r="J839" s="35">
        <f>IF($I$11&gt;Table4[[#This Row],[Working Hours]],$F$6-Table4[[#This Row],[Working Hours]],0)</f>
        <v>0.33333333333333331</v>
      </c>
      <c r="K839" s="20" t="s">
        <v>240</v>
      </c>
    </row>
    <row r="840" spans="3:11" x14ac:dyDescent="0.25">
      <c r="C840" s="13" t="s">
        <v>52</v>
      </c>
      <c r="D840" s="8">
        <v>45732</v>
      </c>
      <c r="E840" s="7" t="s">
        <v>8</v>
      </c>
      <c r="F840" s="9"/>
      <c r="G840" s="9"/>
      <c r="H840" s="10">
        <f t="shared" si="24"/>
        <v>0</v>
      </c>
      <c r="I840" s="10">
        <f t="shared" si="25"/>
        <v>0</v>
      </c>
      <c r="J840" s="35">
        <f>IF($I$11&gt;Table4[[#This Row],[Working Hours]],$F$6-Table4[[#This Row],[Working Hours]],0)</f>
        <v>0.33333333333333331</v>
      </c>
      <c r="K840" s="20" t="s">
        <v>240</v>
      </c>
    </row>
    <row r="841" spans="3:11" x14ac:dyDescent="0.25">
      <c r="C841" s="13" t="s">
        <v>52</v>
      </c>
      <c r="D841" s="8">
        <v>45733</v>
      </c>
      <c r="E841" s="7" t="s">
        <v>20</v>
      </c>
      <c r="F841" s="9">
        <v>0.4465277777777778</v>
      </c>
      <c r="G841" s="9">
        <v>0.91249999999999998</v>
      </c>
      <c r="H841" s="10">
        <f t="shared" si="24"/>
        <v>0.11319444444444449</v>
      </c>
      <c r="I841" s="10">
        <f t="shared" si="25"/>
        <v>0.46597222222222218</v>
      </c>
      <c r="J841" s="35">
        <f>IF($I$11&gt;Table4[[#This Row],[Working Hours]],$F$6-Table4[[#This Row],[Working Hours]],0)</f>
        <v>0</v>
      </c>
      <c r="K841" s="20" t="s">
        <v>239</v>
      </c>
    </row>
    <row r="842" spans="3:11" x14ac:dyDescent="0.25">
      <c r="C842" s="13" t="s">
        <v>52</v>
      </c>
      <c r="D842" s="8">
        <v>45734</v>
      </c>
      <c r="E842" s="7" t="s">
        <v>21</v>
      </c>
      <c r="F842" s="9">
        <v>0.3</v>
      </c>
      <c r="G842" s="9">
        <v>0.94444444444444453</v>
      </c>
      <c r="H842" s="10">
        <f t="shared" si="24"/>
        <v>0</v>
      </c>
      <c r="I842" s="10">
        <f t="shared" si="25"/>
        <v>0.6444444444444446</v>
      </c>
      <c r="J842" s="35">
        <f>IF($I$11&gt;Table4[[#This Row],[Working Hours]],$F$6-Table4[[#This Row],[Working Hours]],0)</f>
        <v>0</v>
      </c>
      <c r="K842" s="20" t="s">
        <v>239</v>
      </c>
    </row>
    <row r="843" spans="3:11" x14ac:dyDescent="0.25">
      <c r="C843" s="13" t="s">
        <v>52</v>
      </c>
      <c r="D843" s="8">
        <v>45735</v>
      </c>
      <c r="E843" s="7" t="s">
        <v>22</v>
      </c>
      <c r="F843" s="9">
        <v>0.44027777777777777</v>
      </c>
      <c r="G843" s="9">
        <v>0.84583333333333333</v>
      </c>
      <c r="H843" s="10">
        <f t="shared" si="24"/>
        <v>0.10694444444444445</v>
      </c>
      <c r="I843" s="10">
        <f t="shared" si="25"/>
        <v>0.40555555555555556</v>
      </c>
      <c r="J843" s="35">
        <f>IF($I$11&gt;Table4[[#This Row],[Working Hours]],$F$6-Table4[[#This Row],[Working Hours]],0)</f>
        <v>0</v>
      </c>
      <c r="K843" s="20" t="s">
        <v>239</v>
      </c>
    </row>
    <row r="844" spans="3:11" x14ac:dyDescent="0.25">
      <c r="C844" s="13" t="s">
        <v>52</v>
      </c>
      <c r="D844" s="8">
        <v>45736</v>
      </c>
      <c r="E844" s="7" t="s">
        <v>18</v>
      </c>
      <c r="F844" s="9">
        <v>0.42430555555555555</v>
      </c>
      <c r="G844" s="9">
        <v>0.88888888888888884</v>
      </c>
      <c r="H844" s="10">
        <f t="shared" ref="H844:H907" si="26">IF($F844&gt;$F$6,$F844-$F$6,0)</f>
        <v>9.0972222222222232E-2</v>
      </c>
      <c r="I844" s="10">
        <f t="shared" ref="I844:I907" si="27">$G844-$F844</f>
        <v>0.46458333333333329</v>
      </c>
      <c r="J844" s="35">
        <f>IF($I$11&gt;Table4[[#This Row],[Working Hours]],$F$6-Table4[[#This Row],[Working Hours]],0)</f>
        <v>0</v>
      </c>
      <c r="K844" s="20" t="s">
        <v>239</v>
      </c>
    </row>
    <row r="845" spans="3:11" x14ac:dyDescent="0.25">
      <c r="C845" s="13" t="s">
        <v>52</v>
      </c>
      <c r="D845" s="8">
        <v>45737</v>
      </c>
      <c r="E845" s="7" t="s">
        <v>19</v>
      </c>
      <c r="F845" s="9">
        <v>0.31111111111111112</v>
      </c>
      <c r="G845" s="9">
        <v>0.94236111111111109</v>
      </c>
      <c r="H845" s="10">
        <f t="shared" si="26"/>
        <v>0</v>
      </c>
      <c r="I845" s="10">
        <f t="shared" si="27"/>
        <v>0.63124999999999998</v>
      </c>
      <c r="J845" s="35">
        <f>IF($I$11&gt;Table4[[#This Row],[Working Hours]],$F$6-Table4[[#This Row],[Working Hours]],0)</f>
        <v>0</v>
      </c>
      <c r="K845" s="20" t="s">
        <v>239</v>
      </c>
    </row>
    <row r="846" spans="3:11" x14ac:dyDescent="0.25">
      <c r="C846" s="13" t="s">
        <v>52</v>
      </c>
      <c r="D846" s="8">
        <v>45738</v>
      </c>
      <c r="E846" s="7" t="s">
        <v>7</v>
      </c>
      <c r="F846" s="9"/>
      <c r="G846" s="9"/>
      <c r="H846" s="10">
        <f t="shared" si="26"/>
        <v>0</v>
      </c>
      <c r="I846" s="10">
        <f t="shared" si="27"/>
        <v>0</v>
      </c>
      <c r="J846" s="35">
        <f>IF($I$11&gt;Table4[[#This Row],[Working Hours]],$F$6-Table4[[#This Row],[Working Hours]],0)</f>
        <v>0.33333333333333331</v>
      </c>
      <c r="K846" s="20" t="s">
        <v>240</v>
      </c>
    </row>
    <row r="847" spans="3:11" x14ac:dyDescent="0.25">
      <c r="C847" s="13" t="s">
        <v>52</v>
      </c>
      <c r="D847" s="8">
        <v>45739</v>
      </c>
      <c r="E847" s="7" t="s">
        <v>8</v>
      </c>
      <c r="F847" s="9"/>
      <c r="G847" s="9"/>
      <c r="H847" s="10">
        <f t="shared" si="26"/>
        <v>0</v>
      </c>
      <c r="I847" s="10">
        <f t="shared" si="27"/>
        <v>0</v>
      </c>
      <c r="J847" s="35">
        <f>IF($I$11&gt;Table4[[#This Row],[Working Hours]],$F$6-Table4[[#This Row],[Working Hours]],0)</f>
        <v>0.33333333333333331</v>
      </c>
      <c r="K847" s="20" t="s">
        <v>240</v>
      </c>
    </row>
    <row r="848" spans="3:11" x14ac:dyDescent="0.25">
      <c r="C848" s="13" t="s">
        <v>52</v>
      </c>
      <c r="D848" s="8">
        <v>45740</v>
      </c>
      <c r="E848" s="7" t="s">
        <v>20</v>
      </c>
      <c r="F848" s="9">
        <v>0.3979166666666667</v>
      </c>
      <c r="G848" s="9">
        <v>0.94027777777777777</v>
      </c>
      <c r="H848" s="10">
        <f t="shared" si="26"/>
        <v>6.4583333333333381E-2</v>
      </c>
      <c r="I848" s="10">
        <f t="shared" si="27"/>
        <v>0.54236111111111107</v>
      </c>
      <c r="J848" s="35">
        <f>IF($I$11&gt;Table4[[#This Row],[Working Hours]],$F$6-Table4[[#This Row],[Working Hours]],0)</f>
        <v>0</v>
      </c>
      <c r="K848" s="20" t="s">
        <v>239</v>
      </c>
    </row>
    <row r="849" spans="3:11" x14ac:dyDescent="0.25">
      <c r="C849" s="13" t="s">
        <v>52</v>
      </c>
      <c r="D849" s="8">
        <v>45741</v>
      </c>
      <c r="E849" s="7" t="s">
        <v>21</v>
      </c>
      <c r="F849" s="9">
        <v>0.40347222222222223</v>
      </c>
      <c r="G849" s="9">
        <v>0.97638888888888886</v>
      </c>
      <c r="H849" s="10">
        <f t="shared" si="26"/>
        <v>7.0138888888888917E-2</v>
      </c>
      <c r="I849" s="10">
        <f t="shared" si="27"/>
        <v>0.57291666666666663</v>
      </c>
      <c r="J849" s="35">
        <f>IF($I$11&gt;Table4[[#This Row],[Working Hours]],$F$6-Table4[[#This Row],[Working Hours]],0)</f>
        <v>0</v>
      </c>
      <c r="K849" s="20" t="s">
        <v>239</v>
      </c>
    </row>
    <row r="850" spans="3:11" x14ac:dyDescent="0.25">
      <c r="C850" s="13" t="s">
        <v>52</v>
      </c>
      <c r="D850" s="8">
        <v>45742</v>
      </c>
      <c r="E850" s="7" t="s">
        <v>22</v>
      </c>
      <c r="F850" s="9">
        <v>0.36180555555555555</v>
      </c>
      <c r="G850" s="9">
        <v>0.98611111111111116</v>
      </c>
      <c r="H850" s="10">
        <f t="shared" si="26"/>
        <v>2.8472222222222232E-2</v>
      </c>
      <c r="I850" s="10">
        <f t="shared" si="27"/>
        <v>0.62430555555555567</v>
      </c>
      <c r="J850" s="35">
        <f>IF($I$11&gt;Table4[[#This Row],[Working Hours]],$F$6-Table4[[#This Row],[Working Hours]],0)</f>
        <v>0</v>
      </c>
      <c r="K850" s="20" t="s">
        <v>239</v>
      </c>
    </row>
    <row r="851" spans="3:11" x14ac:dyDescent="0.25">
      <c r="C851" s="13" t="s">
        <v>52</v>
      </c>
      <c r="D851" s="8">
        <v>45743</v>
      </c>
      <c r="E851" s="7" t="s">
        <v>18</v>
      </c>
      <c r="F851" s="9">
        <v>0.33263888888888887</v>
      </c>
      <c r="G851" s="9">
        <v>0.94513888888888886</v>
      </c>
      <c r="H851" s="10">
        <f t="shared" si="26"/>
        <v>0</v>
      </c>
      <c r="I851" s="10">
        <f t="shared" si="27"/>
        <v>0.61250000000000004</v>
      </c>
      <c r="J851" s="35">
        <f>IF($I$11&gt;Table4[[#This Row],[Working Hours]],$F$6-Table4[[#This Row],[Working Hours]],0)</f>
        <v>0</v>
      </c>
      <c r="K851" s="20" t="s">
        <v>239</v>
      </c>
    </row>
    <row r="852" spans="3:11" x14ac:dyDescent="0.25">
      <c r="C852" s="13" t="s">
        <v>52</v>
      </c>
      <c r="D852" s="8">
        <v>45744</v>
      </c>
      <c r="E852" s="7" t="s">
        <v>19</v>
      </c>
      <c r="F852" s="9">
        <v>0.45416666666666666</v>
      </c>
      <c r="G852" s="9">
        <v>0.89861111111111114</v>
      </c>
      <c r="H852" s="10">
        <f t="shared" si="26"/>
        <v>0.12083333333333335</v>
      </c>
      <c r="I852" s="10">
        <f t="shared" si="27"/>
        <v>0.44444444444444448</v>
      </c>
      <c r="J852" s="35">
        <f>IF($I$11&gt;Table4[[#This Row],[Working Hours]],$F$6-Table4[[#This Row],[Working Hours]],0)</f>
        <v>0</v>
      </c>
      <c r="K852" s="20" t="s">
        <v>239</v>
      </c>
    </row>
    <row r="853" spans="3:11" x14ac:dyDescent="0.25">
      <c r="C853" s="13" t="s">
        <v>52</v>
      </c>
      <c r="D853" s="8">
        <v>45745</v>
      </c>
      <c r="E853" s="7" t="s">
        <v>7</v>
      </c>
      <c r="F853" s="9"/>
      <c r="G853" s="9"/>
      <c r="H853" s="10">
        <f t="shared" si="26"/>
        <v>0</v>
      </c>
      <c r="I853" s="10">
        <f t="shared" si="27"/>
        <v>0</v>
      </c>
      <c r="J853" s="35">
        <f>IF($I$11&gt;Table4[[#This Row],[Working Hours]],$F$6-Table4[[#This Row],[Working Hours]],0)</f>
        <v>0.33333333333333331</v>
      </c>
      <c r="K853" s="20" t="s">
        <v>240</v>
      </c>
    </row>
    <row r="854" spans="3:11" x14ac:dyDescent="0.25">
      <c r="C854" s="13" t="s">
        <v>52</v>
      </c>
      <c r="D854" s="8">
        <v>45746</v>
      </c>
      <c r="E854" s="7" t="s">
        <v>8</v>
      </c>
      <c r="F854" s="9"/>
      <c r="G854" s="9"/>
      <c r="H854" s="10">
        <f t="shared" si="26"/>
        <v>0</v>
      </c>
      <c r="I854" s="10">
        <f t="shared" si="27"/>
        <v>0</v>
      </c>
      <c r="J854" s="35">
        <f>IF($I$11&gt;Table4[[#This Row],[Working Hours]],$F$6-Table4[[#This Row],[Working Hours]],0)</f>
        <v>0.33333333333333331</v>
      </c>
      <c r="K854" s="20" t="s">
        <v>240</v>
      </c>
    </row>
    <row r="855" spans="3:11" x14ac:dyDescent="0.25">
      <c r="C855" s="13" t="s">
        <v>52</v>
      </c>
      <c r="D855" s="8">
        <v>45747</v>
      </c>
      <c r="E855" s="7" t="s">
        <v>20</v>
      </c>
      <c r="F855" s="9">
        <v>0.31944444444444448</v>
      </c>
      <c r="G855" s="9">
        <v>0.8569444444444444</v>
      </c>
      <c r="H855" s="10">
        <f t="shared" si="26"/>
        <v>0</v>
      </c>
      <c r="I855" s="10">
        <f t="shared" si="27"/>
        <v>0.53749999999999987</v>
      </c>
      <c r="J855" s="35">
        <f>IF($I$11&gt;Table4[[#This Row],[Working Hours]],$F$6-Table4[[#This Row],[Working Hours]],0)</f>
        <v>0</v>
      </c>
      <c r="K855" s="20" t="s">
        <v>239</v>
      </c>
    </row>
    <row r="856" spans="3:11" x14ac:dyDescent="0.25">
      <c r="C856" s="13" t="s">
        <v>52</v>
      </c>
      <c r="D856" s="8">
        <v>45748</v>
      </c>
      <c r="E856" s="7" t="s">
        <v>21</v>
      </c>
      <c r="F856" s="9">
        <v>0.40902777777777777</v>
      </c>
      <c r="G856" s="9">
        <v>0.99375000000000002</v>
      </c>
      <c r="H856" s="10">
        <f t="shared" si="26"/>
        <v>7.5694444444444453E-2</v>
      </c>
      <c r="I856" s="10">
        <f t="shared" si="27"/>
        <v>0.58472222222222225</v>
      </c>
      <c r="J856" s="35">
        <f>IF($I$11&gt;Table4[[#This Row],[Working Hours]],$F$6-Table4[[#This Row],[Working Hours]],0)</f>
        <v>0</v>
      </c>
      <c r="K856" s="20" t="s">
        <v>239</v>
      </c>
    </row>
    <row r="857" spans="3:11" x14ac:dyDescent="0.25">
      <c r="C857" s="13" t="s">
        <v>52</v>
      </c>
      <c r="D857" s="8">
        <v>45749</v>
      </c>
      <c r="E857" s="7" t="s">
        <v>22</v>
      </c>
      <c r="F857" s="9">
        <v>0.31319444444444444</v>
      </c>
      <c r="G857" s="9">
        <v>0.93263888888888891</v>
      </c>
      <c r="H857" s="10">
        <f t="shared" si="26"/>
        <v>0</v>
      </c>
      <c r="I857" s="10">
        <f t="shared" si="27"/>
        <v>0.61944444444444446</v>
      </c>
      <c r="J857" s="35">
        <f>IF($I$11&gt;Table4[[#This Row],[Working Hours]],$F$6-Table4[[#This Row],[Working Hours]],0)</f>
        <v>0</v>
      </c>
      <c r="K857" s="20" t="s">
        <v>239</v>
      </c>
    </row>
    <row r="858" spans="3:11" x14ac:dyDescent="0.25">
      <c r="C858" s="13" t="s">
        <v>52</v>
      </c>
      <c r="D858" s="8">
        <v>45750</v>
      </c>
      <c r="E858" s="7" t="s">
        <v>18</v>
      </c>
      <c r="F858" s="9">
        <v>0.40625</v>
      </c>
      <c r="G858" s="9">
        <v>0.90833333333333333</v>
      </c>
      <c r="H858" s="10">
        <f t="shared" si="26"/>
        <v>7.2916666666666685E-2</v>
      </c>
      <c r="I858" s="10">
        <f t="shared" si="27"/>
        <v>0.50208333333333333</v>
      </c>
      <c r="J858" s="35">
        <f>IF($I$11&gt;Table4[[#This Row],[Working Hours]],$F$6-Table4[[#This Row],[Working Hours]],0)</f>
        <v>0</v>
      </c>
      <c r="K858" s="20" t="s">
        <v>239</v>
      </c>
    </row>
    <row r="859" spans="3:11" x14ac:dyDescent="0.25">
      <c r="C859" s="13" t="s">
        <v>52</v>
      </c>
      <c r="D859" s="8">
        <v>45751</v>
      </c>
      <c r="E859" s="7" t="s">
        <v>19</v>
      </c>
      <c r="F859" s="9">
        <v>0.48472222222222222</v>
      </c>
      <c r="G859" s="9">
        <v>0.9</v>
      </c>
      <c r="H859" s="10">
        <f t="shared" si="26"/>
        <v>0.15138888888888891</v>
      </c>
      <c r="I859" s="10">
        <f t="shared" si="27"/>
        <v>0.4152777777777778</v>
      </c>
      <c r="J859" s="35">
        <f>IF($I$11&gt;Table4[[#This Row],[Working Hours]],$F$6-Table4[[#This Row],[Working Hours]],0)</f>
        <v>0</v>
      </c>
      <c r="K859" s="20" t="s">
        <v>239</v>
      </c>
    </row>
    <row r="860" spans="3:11" x14ac:dyDescent="0.25">
      <c r="C860" s="13" t="s">
        <v>52</v>
      </c>
      <c r="D860" s="8">
        <v>45752</v>
      </c>
      <c r="E860" s="7" t="s">
        <v>7</v>
      </c>
      <c r="F860" s="9"/>
      <c r="G860" s="9"/>
      <c r="H860" s="10">
        <f t="shared" si="26"/>
        <v>0</v>
      </c>
      <c r="I860" s="10">
        <f t="shared" si="27"/>
        <v>0</v>
      </c>
      <c r="J860" s="35">
        <f>IF($I$11&gt;Table4[[#This Row],[Working Hours]],$F$6-Table4[[#This Row],[Working Hours]],0)</f>
        <v>0.33333333333333331</v>
      </c>
      <c r="K860" s="20" t="s">
        <v>240</v>
      </c>
    </row>
    <row r="861" spans="3:11" x14ac:dyDescent="0.25">
      <c r="C861" s="13" t="s">
        <v>52</v>
      </c>
      <c r="D861" s="8">
        <v>45753</v>
      </c>
      <c r="E861" s="7" t="s">
        <v>8</v>
      </c>
      <c r="F861" s="9"/>
      <c r="G861" s="9"/>
      <c r="H861" s="10">
        <f t="shared" si="26"/>
        <v>0</v>
      </c>
      <c r="I861" s="10">
        <f t="shared" si="27"/>
        <v>0</v>
      </c>
      <c r="J861" s="35">
        <f>IF($I$11&gt;Table4[[#This Row],[Working Hours]],$F$6-Table4[[#This Row],[Working Hours]],0)</f>
        <v>0.33333333333333331</v>
      </c>
      <c r="K861" s="20" t="s">
        <v>240</v>
      </c>
    </row>
    <row r="862" spans="3:11" x14ac:dyDescent="0.25">
      <c r="C862" s="13" t="s">
        <v>52</v>
      </c>
      <c r="D862" s="8">
        <v>45754</v>
      </c>
      <c r="E862" s="7" t="s">
        <v>20</v>
      </c>
      <c r="F862" s="9">
        <v>0.35833333333333334</v>
      </c>
      <c r="G862" s="9">
        <v>0.98819444444444438</v>
      </c>
      <c r="H862" s="10">
        <f t="shared" si="26"/>
        <v>2.5000000000000022E-2</v>
      </c>
      <c r="I862" s="10">
        <f t="shared" si="27"/>
        <v>0.62986111111111098</v>
      </c>
      <c r="J862" s="35">
        <f>IF($I$11&gt;Table4[[#This Row],[Working Hours]],$F$6-Table4[[#This Row],[Working Hours]],0)</f>
        <v>0</v>
      </c>
      <c r="K862" s="20" t="s">
        <v>239</v>
      </c>
    </row>
    <row r="863" spans="3:11" x14ac:dyDescent="0.25">
      <c r="C863" s="13" t="s">
        <v>52</v>
      </c>
      <c r="D863" s="8">
        <v>45755</v>
      </c>
      <c r="E863" s="7" t="s">
        <v>21</v>
      </c>
      <c r="F863" s="9">
        <v>0.44166666666666665</v>
      </c>
      <c r="G863" s="9">
        <v>0.93680555555555556</v>
      </c>
      <c r="H863" s="10">
        <f t="shared" si="26"/>
        <v>0.10833333333333334</v>
      </c>
      <c r="I863" s="10">
        <f t="shared" si="27"/>
        <v>0.49513888888888891</v>
      </c>
      <c r="J863" s="35">
        <f>IF($I$11&gt;Table4[[#This Row],[Working Hours]],$F$6-Table4[[#This Row],[Working Hours]],0)</f>
        <v>0</v>
      </c>
      <c r="K863" s="20" t="s">
        <v>239</v>
      </c>
    </row>
    <row r="864" spans="3:11" x14ac:dyDescent="0.25">
      <c r="C864" s="13" t="s">
        <v>52</v>
      </c>
      <c r="D864" s="8">
        <v>45756</v>
      </c>
      <c r="E864" s="7" t="s">
        <v>22</v>
      </c>
      <c r="F864" s="9">
        <v>0.29236111111111113</v>
      </c>
      <c r="G864" s="9">
        <v>0.94791666666666663</v>
      </c>
      <c r="H864" s="10">
        <f t="shared" si="26"/>
        <v>0</v>
      </c>
      <c r="I864" s="10">
        <f t="shared" si="27"/>
        <v>0.65555555555555545</v>
      </c>
      <c r="J864" s="35">
        <f>IF($I$11&gt;Table4[[#This Row],[Working Hours]],$F$6-Table4[[#This Row],[Working Hours]],0)</f>
        <v>0</v>
      </c>
      <c r="K864" s="20" t="s">
        <v>239</v>
      </c>
    </row>
    <row r="865" spans="3:11" x14ac:dyDescent="0.25">
      <c r="C865" s="13" t="s">
        <v>52</v>
      </c>
      <c r="D865" s="8">
        <v>45757</v>
      </c>
      <c r="E865" s="7" t="s">
        <v>18</v>
      </c>
      <c r="F865" s="9">
        <v>0.3527777777777778</v>
      </c>
      <c r="G865" s="9">
        <v>0.96944444444444444</v>
      </c>
      <c r="H865" s="10">
        <f t="shared" si="26"/>
        <v>1.9444444444444486E-2</v>
      </c>
      <c r="I865" s="10">
        <f t="shared" si="27"/>
        <v>0.6166666666666667</v>
      </c>
      <c r="J865" s="35">
        <f>IF($I$11&gt;Table4[[#This Row],[Working Hours]],$F$6-Table4[[#This Row],[Working Hours]],0)</f>
        <v>0</v>
      </c>
      <c r="K865" s="20" t="s">
        <v>239</v>
      </c>
    </row>
    <row r="866" spans="3:11" x14ac:dyDescent="0.25">
      <c r="C866" s="13" t="s">
        <v>52</v>
      </c>
      <c r="D866" s="8">
        <v>45758</v>
      </c>
      <c r="E866" s="7" t="s">
        <v>19</v>
      </c>
      <c r="F866" s="9">
        <v>0.37847222222222227</v>
      </c>
      <c r="G866" s="9">
        <v>0.94305555555555554</v>
      </c>
      <c r="H866" s="10">
        <f t="shared" si="26"/>
        <v>4.5138888888888951E-2</v>
      </c>
      <c r="I866" s="10">
        <f t="shared" si="27"/>
        <v>0.56458333333333321</v>
      </c>
      <c r="J866" s="35">
        <f>IF($I$11&gt;Table4[[#This Row],[Working Hours]],$F$6-Table4[[#This Row],[Working Hours]],0)</f>
        <v>0</v>
      </c>
      <c r="K866" s="20" t="s">
        <v>239</v>
      </c>
    </row>
    <row r="867" spans="3:11" x14ac:dyDescent="0.25">
      <c r="C867" s="13" t="s">
        <v>52</v>
      </c>
      <c r="D867" s="8">
        <v>45759</v>
      </c>
      <c r="E867" s="7" t="s">
        <v>7</v>
      </c>
      <c r="F867" s="9"/>
      <c r="G867" s="9"/>
      <c r="H867" s="10">
        <f t="shared" si="26"/>
        <v>0</v>
      </c>
      <c r="I867" s="10">
        <f t="shared" si="27"/>
        <v>0</v>
      </c>
      <c r="J867" s="35">
        <f>IF($I$11&gt;Table4[[#This Row],[Working Hours]],$F$6-Table4[[#This Row],[Working Hours]],0)</f>
        <v>0.33333333333333331</v>
      </c>
      <c r="K867" s="20" t="s">
        <v>240</v>
      </c>
    </row>
    <row r="868" spans="3:11" x14ac:dyDescent="0.25">
      <c r="C868" s="13" t="s">
        <v>52</v>
      </c>
      <c r="D868" s="8">
        <v>45760</v>
      </c>
      <c r="E868" s="7" t="s">
        <v>8</v>
      </c>
      <c r="F868" s="9"/>
      <c r="G868" s="9"/>
      <c r="H868" s="10">
        <f t="shared" si="26"/>
        <v>0</v>
      </c>
      <c r="I868" s="10">
        <f t="shared" si="27"/>
        <v>0</v>
      </c>
      <c r="J868" s="35">
        <f>IF($I$11&gt;Table4[[#This Row],[Working Hours]],$F$6-Table4[[#This Row],[Working Hours]],0)</f>
        <v>0.33333333333333331</v>
      </c>
      <c r="K868" s="20" t="s">
        <v>240</v>
      </c>
    </row>
    <row r="869" spans="3:11" x14ac:dyDescent="0.25">
      <c r="C869" s="13" t="s">
        <v>52</v>
      </c>
      <c r="D869" s="8">
        <v>45761</v>
      </c>
      <c r="E869" s="7" t="s">
        <v>20</v>
      </c>
      <c r="F869" s="9">
        <v>0.36527777777777781</v>
      </c>
      <c r="G869" s="9">
        <v>0.8881944444444444</v>
      </c>
      <c r="H869" s="10">
        <f t="shared" si="26"/>
        <v>3.1944444444444497E-2</v>
      </c>
      <c r="I869" s="10">
        <f t="shared" si="27"/>
        <v>0.52291666666666659</v>
      </c>
      <c r="J869" s="35">
        <f>IF($I$11&gt;Table4[[#This Row],[Working Hours]],$F$6-Table4[[#This Row],[Working Hours]],0)</f>
        <v>0</v>
      </c>
      <c r="K869" s="20" t="s">
        <v>239</v>
      </c>
    </row>
    <row r="870" spans="3:11" x14ac:dyDescent="0.25">
      <c r="C870" s="13" t="s">
        <v>52</v>
      </c>
      <c r="D870" s="8">
        <v>45762</v>
      </c>
      <c r="E870" s="7" t="s">
        <v>21</v>
      </c>
      <c r="F870" s="9">
        <v>0.4236111111111111</v>
      </c>
      <c r="G870" s="9">
        <v>0.87013888888888891</v>
      </c>
      <c r="H870" s="10">
        <f t="shared" si="26"/>
        <v>9.027777777777779E-2</v>
      </c>
      <c r="I870" s="10">
        <f t="shared" si="27"/>
        <v>0.4465277777777778</v>
      </c>
      <c r="J870" s="35">
        <f>IF($I$11&gt;Table4[[#This Row],[Working Hours]],$F$6-Table4[[#This Row],[Working Hours]],0)</f>
        <v>0</v>
      </c>
      <c r="K870" s="20" t="s">
        <v>239</v>
      </c>
    </row>
    <row r="871" spans="3:11" x14ac:dyDescent="0.25">
      <c r="C871" s="13" t="s">
        <v>52</v>
      </c>
      <c r="D871" s="8">
        <v>45763</v>
      </c>
      <c r="E871" s="7" t="s">
        <v>22</v>
      </c>
      <c r="F871" s="9">
        <v>0.47430555555555554</v>
      </c>
      <c r="G871" s="9">
        <v>0.93680555555555556</v>
      </c>
      <c r="H871" s="10">
        <f t="shared" si="26"/>
        <v>0.14097222222222222</v>
      </c>
      <c r="I871" s="10">
        <f t="shared" si="27"/>
        <v>0.46250000000000002</v>
      </c>
      <c r="J871" s="35">
        <f>IF($I$11&gt;Table4[[#This Row],[Working Hours]],$F$6-Table4[[#This Row],[Working Hours]],0)</f>
        <v>0</v>
      </c>
      <c r="K871" s="20" t="s">
        <v>239</v>
      </c>
    </row>
    <row r="872" spans="3:11" x14ac:dyDescent="0.25">
      <c r="C872" s="13" t="s">
        <v>52</v>
      </c>
      <c r="D872" s="8">
        <v>45764</v>
      </c>
      <c r="E872" s="7" t="s">
        <v>18</v>
      </c>
      <c r="F872" s="9">
        <v>0.43541666666666662</v>
      </c>
      <c r="G872" s="9">
        <v>0.9291666666666667</v>
      </c>
      <c r="H872" s="10">
        <f t="shared" si="26"/>
        <v>0.1020833333333333</v>
      </c>
      <c r="I872" s="10">
        <f t="shared" si="27"/>
        <v>0.49375000000000008</v>
      </c>
      <c r="J872" s="35">
        <f>IF($I$11&gt;Table4[[#This Row],[Working Hours]],$F$6-Table4[[#This Row],[Working Hours]],0)</f>
        <v>0</v>
      </c>
      <c r="K872" s="20" t="s">
        <v>239</v>
      </c>
    </row>
    <row r="873" spans="3:11" x14ac:dyDescent="0.25">
      <c r="C873" s="13" t="s">
        <v>52</v>
      </c>
      <c r="D873" s="8">
        <v>45765</v>
      </c>
      <c r="E873" s="7" t="s">
        <v>19</v>
      </c>
      <c r="F873" s="9">
        <v>0.43402777777777773</v>
      </c>
      <c r="G873" s="9">
        <v>0.95763888888888893</v>
      </c>
      <c r="H873" s="10">
        <f t="shared" si="26"/>
        <v>0.10069444444444442</v>
      </c>
      <c r="I873" s="10">
        <f t="shared" si="27"/>
        <v>0.52361111111111125</v>
      </c>
      <c r="J873" s="35">
        <f>IF($I$11&gt;Table4[[#This Row],[Working Hours]],$F$6-Table4[[#This Row],[Working Hours]],0)</f>
        <v>0</v>
      </c>
      <c r="K873" s="20" t="s">
        <v>239</v>
      </c>
    </row>
    <row r="874" spans="3:11" x14ac:dyDescent="0.25">
      <c r="C874" s="13" t="s">
        <v>52</v>
      </c>
      <c r="D874" s="8">
        <v>45766</v>
      </c>
      <c r="E874" s="7" t="s">
        <v>7</v>
      </c>
      <c r="F874" s="9"/>
      <c r="G874" s="9"/>
      <c r="H874" s="10">
        <f t="shared" si="26"/>
        <v>0</v>
      </c>
      <c r="I874" s="10">
        <f t="shared" si="27"/>
        <v>0</v>
      </c>
      <c r="J874" s="35">
        <f>IF($I$11&gt;Table4[[#This Row],[Working Hours]],$F$6-Table4[[#This Row],[Working Hours]],0)</f>
        <v>0.33333333333333331</v>
      </c>
      <c r="K874" s="20" t="s">
        <v>240</v>
      </c>
    </row>
    <row r="875" spans="3:11" x14ac:dyDescent="0.25">
      <c r="C875" s="13" t="s">
        <v>52</v>
      </c>
      <c r="D875" s="8">
        <v>45767</v>
      </c>
      <c r="E875" s="7" t="s">
        <v>8</v>
      </c>
      <c r="F875" s="9"/>
      <c r="G875" s="9"/>
      <c r="H875" s="10">
        <f t="shared" si="26"/>
        <v>0</v>
      </c>
      <c r="I875" s="10">
        <f t="shared" si="27"/>
        <v>0</v>
      </c>
      <c r="J875" s="35">
        <f>IF($I$11&gt;Table4[[#This Row],[Working Hours]],$F$6-Table4[[#This Row],[Working Hours]],0)</f>
        <v>0.33333333333333331</v>
      </c>
      <c r="K875" s="20" t="s">
        <v>240</v>
      </c>
    </row>
    <row r="876" spans="3:11" x14ac:dyDescent="0.25">
      <c r="C876" s="13" t="s">
        <v>52</v>
      </c>
      <c r="D876" s="8">
        <v>45768</v>
      </c>
      <c r="E876" s="7" t="s">
        <v>20</v>
      </c>
      <c r="F876" s="9">
        <v>0.35625000000000001</v>
      </c>
      <c r="G876" s="9">
        <v>0.98541666666666661</v>
      </c>
      <c r="H876" s="10">
        <f t="shared" si="26"/>
        <v>2.2916666666666696E-2</v>
      </c>
      <c r="I876" s="10">
        <f t="shared" si="27"/>
        <v>0.62916666666666665</v>
      </c>
      <c r="J876" s="35">
        <f>IF($I$11&gt;Table4[[#This Row],[Working Hours]],$F$6-Table4[[#This Row],[Working Hours]],0)</f>
        <v>0</v>
      </c>
      <c r="K876" s="20" t="s">
        <v>239</v>
      </c>
    </row>
    <row r="877" spans="3:11" x14ac:dyDescent="0.25">
      <c r="C877" s="13" t="s">
        <v>52</v>
      </c>
      <c r="D877" s="8">
        <v>45769</v>
      </c>
      <c r="E877" s="7" t="s">
        <v>21</v>
      </c>
      <c r="F877" s="9">
        <v>0.30416666666666664</v>
      </c>
      <c r="G877" s="9">
        <v>0.95763888888888893</v>
      </c>
      <c r="H877" s="10">
        <f t="shared" si="26"/>
        <v>0</v>
      </c>
      <c r="I877" s="10">
        <f t="shared" si="27"/>
        <v>0.65347222222222223</v>
      </c>
      <c r="J877" s="35">
        <f>IF($I$11&gt;Table4[[#This Row],[Working Hours]],$F$6-Table4[[#This Row],[Working Hours]],0)</f>
        <v>0</v>
      </c>
      <c r="K877" s="20" t="s">
        <v>239</v>
      </c>
    </row>
    <row r="878" spans="3:11" x14ac:dyDescent="0.25">
      <c r="C878" s="13" t="s">
        <v>52</v>
      </c>
      <c r="D878" s="8">
        <v>45770</v>
      </c>
      <c r="E878" s="7" t="s">
        <v>22</v>
      </c>
      <c r="F878" s="9">
        <v>0.33124999999999999</v>
      </c>
      <c r="G878" s="9">
        <v>0.86041666666666661</v>
      </c>
      <c r="H878" s="10">
        <f t="shared" si="26"/>
        <v>0</v>
      </c>
      <c r="I878" s="10">
        <f t="shared" si="27"/>
        <v>0.52916666666666656</v>
      </c>
      <c r="J878" s="35">
        <f>IF($I$11&gt;Table4[[#This Row],[Working Hours]],$F$6-Table4[[#This Row],[Working Hours]],0)</f>
        <v>0</v>
      </c>
      <c r="K878" s="20" t="s">
        <v>239</v>
      </c>
    </row>
    <row r="879" spans="3:11" x14ac:dyDescent="0.25">
      <c r="C879" s="13" t="s">
        <v>52</v>
      </c>
      <c r="D879" s="8">
        <v>45771</v>
      </c>
      <c r="E879" s="7" t="s">
        <v>18</v>
      </c>
      <c r="F879" s="9">
        <v>0.34513888888888888</v>
      </c>
      <c r="G879" s="9">
        <v>0.88958333333333339</v>
      </c>
      <c r="H879" s="10">
        <f t="shared" si="26"/>
        <v>1.1805555555555569E-2</v>
      </c>
      <c r="I879" s="10">
        <f t="shared" si="27"/>
        <v>0.54444444444444451</v>
      </c>
      <c r="J879" s="35">
        <f>IF($I$11&gt;Table4[[#This Row],[Working Hours]],$F$6-Table4[[#This Row],[Working Hours]],0)</f>
        <v>0</v>
      </c>
      <c r="K879" s="20" t="s">
        <v>239</v>
      </c>
    </row>
    <row r="880" spans="3:11" x14ac:dyDescent="0.25">
      <c r="C880" s="13" t="s">
        <v>52</v>
      </c>
      <c r="D880" s="8">
        <v>45772</v>
      </c>
      <c r="E880" s="7" t="s">
        <v>19</v>
      </c>
      <c r="F880" s="9">
        <v>0.30902777777777779</v>
      </c>
      <c r="G880" s="9">
        <v>0.95763888888888893</v>
      </c>
      <c r="H880" s="10">
        <f t="shared" si="26"/>
        <v>0</v>
      </c>
      <c r="I880" s="10">
        <f t="shared" si="27"/>
        <v>0.64861111111111114</v>
      </c>
      <c r="J880" s="35">
        <f>IF($I$11&gt;Table4[[#This Row],[Working Hours]],$F$6-Table4[[#This Row],[Working Hours]],0)</f>
        <v>0</v>
      </c>
      <c r="K880" s="20" t="s">
        <v>239</v>
      </c>
    </row>
    <row r="881" spans="3:11" x14ac:dyDescent="0.25">
      <c r="C881" s="13" t="s">
        <v>52</v>
      </c>
      <c r="D881" s="8">
        <v>45773</v>
      </c>
      <c r="E881" s="7" t="s">
        <v>7</v>
      </c>
      <c r="F881" s="9"/>
      <c r="G881" s="9"/>
      <c r="H881" s="10">
        <f t="shared" si="26"/>
        <v>0</v>
      </c>
      <c r="I881" s="10">
        <f t="shared" si="27"/>
        <v>0</v>
      </c>
      <c r="J881" s="35">
        <f>IF($I$11&gt;Table4[[#This Row],[Working Hours]],$F$6-Table4[[#This Row],[Working Hours]],0)</f>
        <v>0.33333333333333331</v>
      </c>
      <c r="K881" s="20" t="s">
        <v>240</v>
      </c>
    </row>
    <row r="882" spans="3:11" x14ac:dyDescent="0.25">
      <c r="C882" s="13" t="s">
        <v>52</v>
      </c>
      <c r="D882" s="8">
        <v>45774</v>
      </c>
      <c r="E882" s="7" t="s">
        <v>8</v>
      </c>
      <c r="F882" s="9"/>
      <c r="G882" s="9"/>
      <c r="H882" s="10">
        <f t="shared" si="26"/>
        <v>0</v>
      </c>
      <c r="I882" s="10">
        <f t="shared" si="27"/>
        <v>0</v>
      </c>
      <c r="J882" s="35">
        <f>IF($I$11&gt;Table4[[#This Row],[Working Hours]],$F$6-Table4[[#This Row],[Working Hours]],0)</f>
        <v>0.33333333333333331</v>
      </c>
      <c r="K882" s="20" t="s">
        <v>240</v>
      </c>
    </row>
    <row r="883" spans="3:11" x14ac:dyDescent="0.25">
      <c r="C883" s="13" t="s">
        <v>52</v>
      </c>
      <c r="D883" s="8">
        <v>45775</v>
      </c>
      <c r="E883" s="7" t="s">
        <v>20</v>
      </c>
      <c r="F883" s="9">
        <v>0.4375</v>
      </c>
      <c r="G883" s="9">
        <v>0.99513888888888891</v>
      </c>
      <c r="H883" s="10">
        <f t="shared" si="26"/>
        <v>0.10416666666666669</v>
      </c>
      <c r="I883" s="10">
        <f t="shared" si="27"/>
        <v>0.55763888888888891</v>
      </c>
      <c r="J883" s="35">
        <f>IF($I$11&gt;Table4[[#This Row],[Working Hours]],$F$6-Table4[[#This Row],[Working Hours]],0)</f>
        <v>0</v>
      </c>
      <c r="K883" s="20" t="s">
        <v>239</v>
      </c>
    </row>
    <row r="884" spans="3:11" x14ac:dyDescent="0.25">
      <c r="C884" s="13" t="s">
        <v>52</v>
      </c>
      <c r="D884" s="8">
        <v>45776</v>
      </c>
      <c r="E884" s="7" t="s">
        <v>21</v>
      </c>
      <c r="F884" s="9">
        <v>0.48888888888888887</v>
      </c>
      <c r="G884" s="9">
        <v>0.87291666666666667</v>
      </c>
      <c r="H884" s="10">
        <f t="shared" si="26"/>
        <v>0.15555555555555556</v>
      </c>
      <c r="I884" s="10">
        <f t="shared" si="27"/>
        <v>0.3840277777777778</v>
      </c>
      <c r="J884" s="35">
        <v>0</v>
      </c>
      <c r="K884" s="20" t="s">
        <v>239</v>
      </c>
    </row>
    <row r="885" spans="3:11" x14ac:dyDescent="0.25">
      <c r="C885" s="13" t="s">
        <v>52</v>
      </c>
      <c r="D885" s="8">
        <v>45777</v>
      </c>
      <c r="E885" s="7" t="s">
        <v>22</v>
      </c>
      <c r="F885" s="9">
        <v>0.32847222222222222</v>
      </c>
      <c r="G885" s="9">
        <v>0.95138888888888884</v>
      </c>
      <c r="H885" s="10">
        <f t="shared" si="26"/>
        <v>0</v>
      </c>
      <c r="I885" s="10">
        <f t="shared" si="27"/>
        <v>0.62291666666666656</v>
      </c>
      <c r="J885" s="35">
        <f>IF($I$11&gt;Table4[[#This Row],[Working Hours]],$F$6-Table4[[#This Row],[Working Hours]],0)</f>
        <v>0</v>
      </c>
      <c r="K885" s="20" t="s">
        <v>239</v>
      </c>
    </row>
    <row r="886" spans="3:11" x14ac:dyDescent="0.25">
      <c r="C886" s="13" t="s">
        <v>52</v>
      </c>
      <c r="D886" s="8">
        <v>45778</v>
      </c>
      <c r="E886" s="7" t="s">
        <v>18</v>
      </c>
      <c r="F886" s="9"/>
      <c r="G886" s="9"/>
      <c r="H886" s="10">
        <f t="shared" si="26"/>
        <v>0</v>
      </c>
      <c r="I886" s="10">
        <f t="shared" si="27"/>
        <v>0</v>
      </c>
      <c r="J886" s="35">
        <f>IF($I$11&gt;Table4[[#This Row],[Working Hours]],$F$6-Table4[[#This Row],[Working Hours]],0)</f>
        <v>0.33333333333333331</v>
      </c>
      <c r="K886" s="20" t="s">
        <v>71</v>
      </c>
    </row>
    <row r="887" spans="3:11" x14ac:dyDescent="0.25">
      <c r="C887" s="13" t="s">
        <v>52</v>
      </c>
      <c r="D887" s="8">
        <v>45779</v>
      </c>
      <c r="E887" s="7" t="s">
        <v>19</v>
      </c>
      <c r="F887" s="9">
        <v>0.45</v>
      </c>
      <c r="G887" s="9">
        <v>0.95694444444444438</v>
      </c>
      <c r="H887" s="10">
        <f t="shared" si="26"/>
        <v>0.1166666666666667</v>
      </c>
      <c r="I887" s="10">
        <f t="shared" si="27"/>
        <v>0.50694444444444442</v>
      </c>
      <c r="J887" s="35">
        <f>IF($I$11&gt;Table4[[#This Row],[Working Hours]],$F$6-Table4[[#This Row],[Working Hours]],0)</f>
        <v>0</v>
      </c>
      <c r="K887" s="20" t="s">
        <v>239</v>
      </c>
    </row>
    <row r="888" spans="3:11" x14ac:dyDescent="0.25">
      <c r="C888" s="13" t="s">
        <v>52</v>
      </c>
      <c r="D888" s="8">
        <v>45780</v>
      </c>
      <c r="E888" s="7" t="s">
        <v>7</v>
      </c>
      <c r="F888" s="9"/>
      <c r="G888" s="9"/>
      <c r="H888" s="10">
        <f t="shared" si="26"/>
        <v>0</v>
      </c>
      <c r="I888" s="10">
        <f t="shared" si="27"/>
        <v>0</v>
      </c>
      <c r="J888" s="35">
        <f>IF($I$11&gt;Table4[[#This Row],[Working Hours]],$F$6-Table4[[#This Row],[Working Hours]],0)</f>
        <v>0.33333333333333331</v>
      </c>
      <c r="K888" s="20" t="s">
        <v>240</v>
      </c>
    </row>
    <row r="889" spans="3:11" x14ac:dyDescent="0.25">
      <c r="C889" s="13" t="s">
        <v>52</v>
      </c>
      <c r="D889" s="8">
        <v>45781</v>
      </c>
      <c r="E889" s="7" t="s">
        <v>8</v>
      </c>
      <c r="F889" s="9"/>
      <c r="G889" s="9"/>
      <c r="H889" s="10">
        <f t="shared" si="26"/>
        <v>0</v>
      </c>
      <c r="I889" s="10">
        <f t="shared" si="27"/>
        <v>0</v>
      </c>
      <c r="J889" s="35">
        <f>IF($I$11&gt;Table4[[#This Row],[Working Hours]],$F$6-Table4[[#This Row],[Working Hours]],0)</f>
        <v>0.33333333333333331</v>
      </c>
      <c r="K889" s="20" t="s">
        <v>240</v>
      </c>
    </row>
    <row r="890" spans="3:11" x14ac:dyDescent="0.25">
      <c r="C890" s="13" t="s">
        <v>52</v>
      </c>
      <c r="D890" s="8">
        <v>45782</v>
      </c>
      <c r="E890" s="7" t="s">
        <v>20</v>
      </c>
      <c r="F890" s="9">
        <v>0.41388888888888892</v>
      </c>
      <c r="G890" s="9">
        <v>0.8520833333333333</v>
      </c>
      <c r="H890" s="10">
        <f t="shared" si="26"/>
        <v>8.0555555555555602E-2</v>
      </c>
      <c r="I890" s="10">
        <f t="shared" si="27"/>
        <v>0.43819444444444439</v>
      </c>
      <c r="J890" s="35">
        <f>IF($I$11&gt;Table4[[#This Row],[Working Hours]],$F$6-Table4[[#This Row],[Working Hours]],0)</f>
        <v>0</v>
      </c>
      <c r="K890" s="20" t="s">
        <v>239</v>
      </c>
    </row>
    <row r="891" spans="3:11" x14ac:dyDescent="0.25">
      <c r="C891" s="13" t="s">
        <v>52</v>
      </c>
      <c r="D891" s="8">
        <v>45783</v>
      </c>
      <c r="E891" s="7" t="s">
        <v>21</v>
      </c>
      <c r="F891" s="9">
        <v>0.3659722222222222</v>
      </c>
      <c r="G891" s="9">
        <v>0.8520833333333333</v>
      </c>
      <c r="H891" s="10">
        <f t="shared" si="26"/>
        <v>3.2638888888888884E-2</v>
      </c>
      <c r="I891" s="10">
        <f t="shared" si="27"/>
        <v>0.4861111111111111</v>
      </c>
      <c r="J891" s="35">
        <f>IF($I$11&gt;Table4[[#This Row],[Working Hours]],$F$6-Table4[[#This Row],[Working Hours]],0)</f>
        <v>0</v>
      </c>
      <c r="K891" s="20" t="s">
        <v>239</v>
      </c>
    </row>
    <row r="892" spans="3:11" x14ac:dyDescent="0.25">
      <c r="C892" s="13" t="s">
        <v>52</v>
      </c>
      <c r="D892" s="8">
        <v>45784</v>
      </c>
      <c r="E892" s="7" t="s">
        <v>22</v>
      </c>
      <c r="F892" s="9">
        <v>0.3659722222222222</v>
      </c>
      <c r="G892" s="9">
        <v>0.97013888888888899</v>
      </c>
      <c r="H892" s="10">
        <f t="shared" si="26"/>
        <v>3.2638888888888884E-2</v>
      </c>
      <c r="I892" s="10">
        <f t="shared" si="27"/>
        <v>0.60416666666666674</v>
      </c>
      <c r="J892" s="35">
        <f>IF($I$11&gt;Table4[[#This Row],[Working Hours]],$F$6-Table4[[#This Row],[Working Hours]],0)</f>
        <v>0</v>
      </c>
      <c r="K892" s="20" t="s">
        <v>239</v>
      </c>
    </row>
    <row r="893" spans="3:11" x14ac:dyDescent="0.25">
      <c r="C893" s="13" t="s">
        <v>52</v>
      </c>
      <c r="D893" s="8">
        <v>45785</v>
      </c>
      <c r="E893" s="7" t="s">
        <v>18</v>
      </c>
      <c r="F893" s="9">
        <v>0.30069444444444443</v>
      </c>
      <c r="G893" s="9">
        <v>0.88611111111111107</v>
      </c>
      <c r="H893" s="10">
        <f t="shared" si="26"/>
        <v>0</v>
      </c>
      <c r="I893" s="10">
        <f t="shared" si="27"/>
        <v>0.5854166666666667</v>
      </c>
      <c r="J893" s="35">
        <f>IF($I$11&gt;Table4[[#This Row],[Working Hours]],$F$6-Table4[[#This Row],[Working Hours]],0)</f>
        <v>0</v>
      </c>
      <c r="K893" s="20" t="s">
        <v>239</v>
      </c>
    </row>
    <row r="894" spans="3:11" x14ac:dyDescent="0.25">
      <c r="C894" s="13" t="s">
        <v>52</v>
      </c>
      <c r="D894" s="8">
        <v>45786</v>
      </c>
      <c r="E894" s="7" t="s">
        <v>19</v>
      </c>
      <c r="F894" s="9">
        <v>0.32777777777777778</v>
      </c>
      <c r="G894" s="9">
        <v>0.97291666666666676</v>
      </c>
      <c r="H894" s="10">
        <f t="shared" si="26"/>
        <v>0</v>
      </c>
      <c r="I894" s="10">
        <f t="shared" si="27"/>
        <v>0.64513888888888893</v>
      </c>
      <c r="J894" s="35">
        <f>IF($I$11&gt;Table4[[#This Row],[Working Hours]],$F$6-Table4[[#This Row],[Working Hours]],0)</f>
        <v>0</v>
      </c>
      <c r="K894" s="20" t="s">
        <v>239</v>
      </c>
    </row>
    <row r="895" spans="3:11" x14ac:dyDescent="0.25">
      <c r="C895" s="13" t="s">
        <v>52</v>
      </c>
      <c r="D895" s="8">
        <v>45787</v>
      </c>
      <c r="E895" s="7" t="s">
        <v>7</v>
      </c>
      <c r="F895" s="9"/>
      <c r="G895" s="9"/>
      <c r="H895" s="10">
        <f t="shared" si="26"/>
        <v>0</v>
      </c>
      <c r="I895" s="10">
        <f t="shared" si="27"/>
        <v>0</v>
      </c>
      <c r="J895" s="35">
        <f>IF($I$11&gt;Table4[[#This Row],[Working Hours]],$F$6-Table4[[#This Row],[Working Hours]],0)</f>
        <v>0.33333333333333331</v>
      </c>
      <c r="K895" s="20" t="s">
        <v>240</v>
      </c>
    </row>
    <row r="896" spans="3:11" x14ac:dyDescent="0.25">
      <c r="C896" s="13" t="s">
        <v>52</v>
      </c>
      <c r="D896" s="8">
        <v>45788</v>
      </c>
      <c r="E896" s="7" t="s">
        <v>8</v>
      </c>
      <c r="F896" s="9"/>
      <c r="G896" s="9"/>
      <c r="H896" s="10">
        <f t="shared" si="26"/>
        <v>0</v>
      </c>
      <c r="I896" s="10">
        <f t="shared" si="27"/>
        <v>0</v>
      </c>
      <c r="J896" s="35">
        <f>IF($I$11&gt;Table4[[#This Row],[Working Hours]],$F$6-Table4[[#This Row],[Working Hours]],0)</f>
        <v>0.33333333333333331</v>
      </c>
      <c r="K896" s="20" t="s">
        <v>240</v>
      </c>
    </row>
    <row r="897" spans="3:11" x14ac:dyDescent="0.25">
      <c r="C897" s="13" t="s">
        <v>52</v>
      </c>
      <c r="D897" s="8">
        <v>45789</v>
      </c>
      <c r="E897" s="7" t="s">
        <v>20</v>
      </c>
      <c r="F897" s="9">
        <v>0.33055555555555555</v>
      </c>
      <c r="G897" s="9">
        <v>0.94791666666666663</v>
      </c>
      <c r="H897" s="10">
        <f t="shared" si="26"/>
        <v>0</v>
      </c>
      <c r="I897" s="10">
        <f t="shared" si="27"/>
        <v>0.61736111111111103</v>
      </c>
      <c r="J897" s="35">
        <f>IF($I$11&gt;Table4[[#This Row],[Working Hours]],$F$6-Table4[[#This Row],[Working Hours]],0)</f>
        <v>0</v>
      </c>
      <c r="K897" s="20" t="s">
        <v>239</v>
      </c>
    </row>
    <row r="898" spans="3:11" x14ac:dyDescent="0.25">
      <c r="C898" s="13" t="s">
        <v>52</v>
      </c>
      <c r="D898" s="8">
        <v>45790</v>
      </c>
      <c r="E898" s="7" t="s">
        <v>21</v>
      </c>
      <c r="F898" s="9">
        <v>0.49861111111111112</v>
      </c>
      <c r="G898" s="9">
        <v>0.86388888888888893</v>
      </c>
      <c r="H898" s="10">
        <f t="shared" si="26"/>
        <v>0.1652777777777778</v>
      </c>
      <c r="I898" s="10">
        <f t="shared" si="27"/>
        <v>0.36527777777777781</v>
      </c>
      <c r="J898" s="35">
        <v>0</v>
      </c>
      <c r="K898" s="20" t="s">
        <v>239</v>
      </c>
    </row>
    <row r="899" spans="3:11" x14ac:dyDescent="0.25">
      <c r="C899" s="13" t="s">
        <v>52</v>
      </c>
      <c r="D899" s="8">
        <v>45791</v>
      </c>
      <c r="E899" s="7" t="s">
        <v>22</v>
      </c>
      <c r="F899" s="9">
        <v>0.38194444444444442</v>
      </c>
      <c r="G899" s="9">
        <v>0.98611111111111116</v>
      </c>
      <c r="H899" s="10">
        <f t="shared" si="26"/>
        <v>4.8611111111111105E-2</v>
      </c>
      <c r="I899" s="10">
        <f t="shared" si="27"/>
        <v>0.60416666666666674</v>
      </c>
      <c r="J899" s="35">
        <f>IF($I$11&gt;Table4[[#This Row],[Working Hours]],$F$6-Table4[[#This Row],[Working Hours]],0)</f>
        <v>0</v>
      </c>
      <c r="K899" s="20" t="s">
        <v>239</v>
      </c>
    </row>
    <row r="900" spans="3:11" x14ac:dyDescent="0.25">
      <c r="C900" s="13" t="s">
        <v>52</v>
      </c>
      <c r="D900" s="8">
        <v>45792</v>
      </c>
      <c r="E900" s="7" t="s">
        <v>18</v>
      </c>
      <c r="F900" s="9">
        <v>0.45833333333333331</v>
      </c>
      <c r="G900" s="9">
        <v>0.86458333333333337</v>
      </c>
      <c r="H900" s="10">
        <f t="shared" si="26"/>
        <v>0.125</v>
      </c>
      <c r="I900" s="10">
        <f t="shared" si="27"/>
        <v>0.40625000000000006</v>
      </c>
      <c r="J900" s="35">
        <f>IF($I$11&gt;Table4[[#This Row],[Working Hours]],$F$6-Table4[[#This Row],[Working Hours]],0)</f>
        <v>0</v>
      </c>
      <c r="K900" s="20" t="s">
        <v>239</v>
      </c>
    </row>
    <row r="901" spans="3:11" x14ac:dyDescent="0.25">
      <c r="C901" s="13" t="s">
        <v>52</v>
      </c>
      <c r="D901" s="8">
        <v>45793</v>
      </c>
      <c r="E901" s="7" t="s">
        <v>19</v>
      </c>
      <c r="F901" s="9">
        <v>0.49513888888888885</v>
      </c>
      <c r="G901" s="9">
        <v>0.98333333333333339</v>
      </c>
      <c r="H901" s="10">
        <f t="shared" si="26"/>
        <v>0.16180555555555554</v>
      </c>
      <c r="I901" s="10">
        <f t="shared" si="27"/>
        <v>0.48819444444444454</v>
      </c>
      <c r="J901" s="35">
        <f>IF($I$11&gt;Table4[[#This Row],[Working Hours]],$F$6-Table4[[#This Row],[Working Hours]],0)</f>
        <v>0</v>
      </c>
      <c r="K901" s="20" t="s">
        <v>239</v>
      </c>
    </row>
    <row r="902" spans="3:11" x14ac:dyDescent="0.25">
      <c r="C902" s="13" t="s">
        <v>52</v>
      </c>
      <c r="D902" s="8">
        <v>45794</v>
      </c>
      <c r="E902" s="7" t="s">
        <v>7</v>
      </c>
      <c r="F902" s="9"/>
      <c r="G902" s="9"/>
      <c r="H902" s="10">
        <f t="shared" si="26"/>
        <v>0</v>
      </c>
      <c r="I902" s="10">
        <f t="shared" si="27"/>
        <v>0</v>
      </c>
      <c r="J902" s="35">
        <f>IF($I$11&gt;Table4[[#This Row],[Working Hours]],$F$6-Table4[[#This Row],[Working Hours]],0)</f>
        <v>0.33333333333333331</v>
      </c>
      <c r="K902" s="20" t="s">
        <v>240</v>
      </c>
    </row>
    <row r="903" spans="3:11" x14ac:dyDescent="0.25">
      <c r="C903" s="13" t="s">
        <v>52</v>
      </c>
      <c r="D903" s="8">
        <v>45795</v>
      </c>
      <c r="E903" s="7" t="s">
        <v>8</v>
      </c>
      <c r="F903" s="9"/>
      <c r="G903" s="9"/>
      <c r="H903" s="10">
        <f t="shared" si="26"/>
        <v>0</v>
      </c>
      <c r="I903" s="10">
        <f t="shared" si="27"/>
        <v>0</v>
      </c>
      <c r="J903" s="35">
        <f>IF($I$11&gt;Table4[[#This Row],[Working Hours]],$F$6-Table4[[#This Row],[Working Hours]],0)</f>
        <v>0.33333333333333331</v>
      </c>
      <c r="K903" s="20" t="s">
        <v>240</v>
      </c>
    </row>
    <row r="904" spans="3:11" x14ac:dyDescent="0.25">
      <c r="C904" s="13" t="s">
        <v>52</v>
      </c>
      <c r="D904" s="8">
        <v>45796</v>
      </c>
      <c r="E904" s="7" t="s">
        <v>20</v>
      </c>
      <c r="F904" s="9">
        <v>0.48541666666666666</v>
      </c>
      <c r="G904" s="9">
        <v>0.84930555555555554</v>
      </c>
      <c r="H904" s="10">
        <f t="shared" si="26"/>
        <v>0.15208333333333335</v>
      </c>
      <c r="I904" s="10">
        <f t="shared" si="27"/>
        <v>0.36388888888888887</v>
      </c>
      <c r="J904" s="35">
        <v>0</v>
      </c>
      <c r="K904" s="20" t="s">
        <v>239</v>
      </c>
    </row>
    <row r="905" spans="3:11" x14ac:dyDescent="0.25">
      <c r="C905" s="13" t="s">
        <v>52</v>
      </c>
      <c r="D905" s="8">
        <v>45797</v>
      </c>
      <c r="E905" s="7" t="s">
        <v>21</v>
      </c>
      <c r="F905" s="9">
        <v>0.3215277777777778</v>
      </c>
      <c r="G905" s="9">
        <v>0.86249999999999993</v>
      </c>
      <c r="H905" s="10">
        <f t="shared" si="26"/>
        <v>0</v>
      </c>
      <c r="I905" s="10">
        <f t="shared" si="27"/>
        <v>0.54097222222222219</v>
      </c>
      <c r="J905" s="35">
        <f>IF($I$11&gt;Table4[[#This Row],[Working Hours]],$F$6-Table4[[#This Row],[Working Hours]],0)</f>
        <v>0</v>
      </c>
      <c r="K905" s="20" t="s">
        <v>239</v>
      </c>
    </row>
    <row r="906" spans="3:11" x14ac:dyDescent="0.25">
      <c r="C906" s="13" t="s">
        <v>52</v>
      </c>
      <c r="D906" s="8">
        <v>45798</v>
      </c>
      <c r="E906" s="7" t="s">
        <v>22</v>
      </c>
      <c r="F906" s="9">
        <v>0.40416666666666662</v>
      </c>
      <c r="G906" s="9">
        <v>0.91527777777777775</v>
      </c>
      <c r="H906" s="10">
        <f t="shared" si="26"/>
        <v>7.0833333333333304E-2</v>
      </c>
      <c r="I906" s="10">
        <f t="shared" si="27"/>
        <v>0.51111111111111107</v>
      </c>
      <c r="J906" s="35">
        <f>IF($I$11&gt;Table4[[#This Row],[Working Hours]],$F$6-Table4[[#This Row],[Working Hours]],0)</f>
        <v>0</v>
      </c>
      <c r="K906" s="20" t="s">
        <v>239</v>
      </c>
    </row>
    <row r="907" spans="3:11" x14ac:dyDescent="0.25">
      <c r="C907" s="13" t="s">
        <v>52</v>
      </c>
      <c r="D907" s="8">
        <v>45799</v>
      </c>
      <c r="E907" s="7" t="s">
        <v>18</v>
      </c>
      <c r="F907" s="9">
        <v>0.4145833333333333</v>
      </c>
      <c r="G907" s="9">
        <v>0.99444444444444446</v>
      </c>
      <c r="H907" s="10">
        <f t="shared" si="26"/>
        <v>8.1249999999999989E-2</v>
      </c>
      <c r="I907" s="10">
        <f t="shared" si="27"/>
        <v>0.57986111111111116</v>
      </c>
      <c r="J907" s="35">
        <f>IF($I$11&gt;Table4[[#This Row],[Working Hours]],$F$6-Table4[[#This Row],[Working Hours]],0)</f>
        <v>0</v>
      </c>
      <c r="K907" s="20" t="s">
        <v>239</v>
      </c>
    </row>
    <row r="908" spans="3:11" x14ac:dyDescent="0.25">
      <c r="C908" s="13" t="s">
        <v>52</v>
      </c>
      <c r="D908" s="8">
        <v>45800</v>
      </c>
      <c r="E908" s="7" t="s">
        <v>19</v>
      </c>
      <c r="F908" s="9">
        <v>0.47916666666666669</v>
      </c>
      <c r="G908" s="9">
        <v>0.9770833333333333</v>
      </c>
      <c r="H908" s="10">
        <f t="shared" ref="H908:H916" si="28">IF($F908&gt;$F$6,$F908-$F$6,0)</f>
        <v>0.14583333333333337</v>
      </c>
      <c r="I908" s="10">
        <f t="shared" ref="I908:I916" si="29">$G908-$F908</f>
        <v>0.49791666666666662</v>
      </c>
      <c r="J908" s="35">
        <f>IF($I$11&gt;Table4[[#This Row],[Working Hours]],$F$6-Table4[[#This Row],[Working Hours]],0)</f>
        <v>0</v>
      </c>
      <c r="K908" s="20" t="s">
        <v>239</v>
      </c>
    </row>
    <row r="909" spans="3:11" x14ac:dyDescent="0.25">
      <c r="C909" s="13" t="s">
        <v>52</v>
      </c>
      <c r="D909" s="8">
        <v>45801</v>
      </c>
      <c r="E909" s="7" t="s">
        <v>7</v>
      </c>
      <c r="F909" s="9"/>
      <c r="G909" s="9"/>
      <c r="H909" s="10">
        <f t="shared" si="28"/>
        <v>0</v>
      </c>
      <c r="I909" s="10">
        <f t="shared" si="29"/>
        <v>0</v>
      </c>
      <c r="J909" s="35">
        <f>IF($I$11&gt;Table4[[#This Row],[Working Hours]],$F$6-Table4[[#This Row],[Working Hours]],0)</f>
        <v>0.33333333333333331</v>
      </c>
      <c r="K909" s="20" t="s">
        <v>240</v>
      </c>
    </row>
    <row r="910" spans="3:11" x14ac:dyDescent="0.25">
      <c r="C910" s="13" t="s">
        <v>52</v>
      </c>
      <c r="D910" s="8">
        <v>45802</v>
      </c>
      <c r="E910" s="7" t="s">
        <v>8</v>
      </c>
      <c r="F910" s="9"/>
      <c r="G910" s="9"/>
      <c r="H910" s="10">
        <f t="shared" si="28"/>
        <v>0</v>
      </c>
      <c r="I910" s="10">
        <f t="shared" si="29"/>
        <v>0</v>
      </c>
      <c r="J910" s="35">
        <f>IF($I$11&gt;Table4[[#This Row],[Working Hours]],$F$6-Table4[[#This Row],[Working Hours]],0)</f>
        <v>0.33333333333333331</v>
      </c>
      <c r="K910" s="20" t="s">
        <v>240</v>
      </c>
    </row>
    <row r="911" spans="3:11" x14ac:dyDescent="0.25">
      <c r="C911" s="13" t="s">
        <v>52</v>
      </c>
      <c r="D911" s="8">
        <v>45803</v>
      </c>
      <c r="E911" s="7" t="s">
        <v>20</v>
      </c>
      <c r="F911" s="9">
        <v>0.35416666666666669</v>
      </c>
      <c r="G911" s="9">
        <v>0.89166666666666661</v>
      </c>
      <c r="H911" s="10">
        <f t="shared" si="28"/>
        <v>2.083333333333337E-2</v>
      </c>
      <c r="I911" s="10">
        <f t="shared" si="29"/>
        <v>0.53749999999999987</v>
      </c>
      <c r="J911" s="35">
        <f>IF($I$11&gt;Table4[[#This Row],[Working Hours]],$F$6-Table4[[#This Row],[Working Hours]],0)</f>
        <v>0</v>
      </c>
      <c r="K911" s="20" t="s">
        <v>239</v>
      </c>
    </row>
    <row r="912" spans="3:11" x14ac:dyDescent="0.25">
      <c r="C912" s="13" t="s">
        <v>52</v>
      </c>
      <c r="D912" s="8">
        <v>45804</v>
      </c>
      <c r="E912" s="7" t="s">
        <v>21</v>
      </c>
      <c r="F912" s="9">
        <v>0.42499999999999999</v>
      </c>
      <c r="G912" s="9">
        <v>0.90763888888888899</v>
      </c>
      <c r="H912" s="10">
        <f t="shared" si="28"/>
        <v>9.1666666666666674E-2</v>
      </c>
      <c r="I912" s="10">
        <f t="shared" si="29"/>
        <v>0.48263888888888901</v>
      </c>
      <c r="J912" s="35">
        <f>IF($I$11&gt;Table4[[#This Row],[Working Hours]],$F$6-Table4[[#This Row],[Working Hours]],0)</f>
        <v>0</v>
      </c>
      <c r="K912" s="20" t="s">
        <v>239</v>
      </c>
    </row>
    <row r="913" spans="3:11" x14ac:dyDescent="0.25">
      <c r="C913" s="13" t="s">
        <v>52</v>
      </c>
      <c r="D913" s="8">
        <v>45805</v>
      </c>
      <c r="E913" s="7" t="s">
        <v>22</v>
      </c>
      <c r="F913" s="9">
        <v>0.38958333333333334</v>
      </c>
      <c r="G913" s="9">
        <v>0.90277777777777779</v>
      </c>
      <c r="H913" s="10">
        <f t="shared" si="28"/>
        <v>5.6250000000000022E-2</v>
      </c>
      <c r="I913" s="10">
        <f t="shared" si="29"/>
        <v>0.51319444444444451</v>
      </c>
      <c r="J913" s="35">
        <f>IF($I$11&gt;Table4[[#This Row],[Working Hours]],$F$6-Table4[[#This Row],[Working Hours]],0)</f>
        <v>0</v>
      </c>
      <c r="K913" s="20" t="s">
        <v>239</v>
      </c>
    </row>
    <row r="914" spans="3:11" x14ac:dyDescent="0.25">
      <c r="C914" s="13" t="s">
        <v>52</v>
      </c>
      <c r="D914" s="8">
        <v>45806</v>
      </c>
      <c r="E914" s="7" t="s">
        <v>18</v>
      </c>
      <c r="F914" s="9">
        <v>0.30208333333333331</v>
      </c>
      <c r="G914" s="9">
        <v>0.97638888888888886</v>
      </c>
      <c r="H914" s="10">
        <f t="shared" si="28"/>
        <v>0</v>
      </c>
      <c r="I914" s="10">
        <f t="shared" si="29"/>
        <v>0.67430555555555549</v>
      </c>
      <c r="J914" s="35">
        <f>IF($I$11&gt;Table4[[#This Row],[Working Hours]],$F$6-Table4[[#This Row],[Working Hours]],0)</f>
        <v>0</v>
      </c>
      <c r="K914" s="20" t="s">
        <v>239</v>
      </c>
    </row>
    <row r="915" spans="3:11" x14ac:dyDescent="0.25">
      <c r="C915" s="13" t="s">
        <v>52</v>
      </c>
      <c r="D915" s="8">
        <v>45807</v>
      </c>
      <c r="E915" s="7" t="s">
        <v>19</v>
      </c>
      <c r="F915" s="9">
        <v>0.42222222222222222</v>
      </c>
      <c r="G915" s="9">
        <v>0.89236111111111116</v>
      </c>
      <c r="H915" s="10">
        <f t="shared" si="28"/>
        <v>8.8888888888888906E-2</v>
      </c>
      <c r="I915" s="10">
        <f t="shared" si="29"/>
        <v>0.47013888888888894</v>
      </c>
      <c r="J915" s="35">
        <f>IF($I$11&gt;Table4[[#This Row],[Working Hours]],$F$6-Table4[[#This Row],[Working Hours]],0)</f>
        <v>0</v>
      </c>
      <c r="K915" s="20" t="s">
        <v>239</v>
      </c>
    </row>
    <row r="916" spans="3:11" x14ac:dyDescent="0.25">
      <c r="C916" s="13" t="s">
        <v>52</v>
      </c>
      <c r="D916" s="24">
        <v>45808</v>
      </c>
      <c r="E916" s="25" t="s">
        <v>7</v>
      </c>
      <c r="F916" s="26"/>
      <c r="G916" s="26"/>
      <c r="H916" s="27">
        <f t="shared" si="28"/>
        <v>0</v>
      </c>
      <c r="I916" s="27">
        <f t="shared" si="29"/>
        <v>0</v>
      </c>
      <c r="J916" s="36">
        <f>IF($I$11&gt;Table4[[#This Row],[Working Hours]],$F$6-Table4[[#This Row],[Working Hours]],0)</f>
        <v>0.33333333333333331</v>
      </c>
      <c r="K916" s="28" t="s">
        <v>240</v>
      </c>
    </row>
  </sheetData>
  <phoneticPr fontId="3" type="noConversion"/>
  <pageMargins left="0.7" right="0.7" top="0.75" bottom="0.75" header="0.3" footer="0.3"/>
  <ignoredErrors>
    <ignoredError sqref="J15:J904" calculatedColumn="1"/>
  </ignoredErrors>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2A484-0E64-49C1-9AE2-88D0200AC3CD}">
  <sheetPr codeName="Sheet2"/>
  <dimension ref="B5:G83"/>
  <sheetViews>
    <sheetView zoomScaleNormal="100" workbookViewId="0">
      <selection activeCell="I3" sqref="I3"/>
    </sheetView>
  </sheetViews>
  <sheetFormatPr defaultRowHeight="15" x14ac:dyDescent="0.25"/>
  <cols>
    <col min="1" max="1" width="9.140625" style="57"/>
    <col min="2" max="2" width="13.42578125" style="57" bestFit="1" customWidth="1"/>
    <col min="3" max="6" width="9.140625" style="57"/>
    <col min="7" max="7" width="27.7109375" style="57" customWidth="1"/>
    <col min="8" max="16384" width="9.140625" style="57"/>
  </cols>
  <sheetData>
    <row r="5" spans="2:7" ht="15.75" thickBot="1" x14ac:dyDescent="0.3"/>
    <row r="6" spans="2:7" ht="15.75" thickTop="1" x14ac:dyDescent="0.25">
      <c r="B6" s="73" t="str">
        <f>EMP_INFORMATION!B6</f>
        <v>Ali Charle</v>
      </c>
      <c r="C6" s="95" t="e" vm="1">
        <v>#VALUE!</v>
      </c>
      <c r="D6" s="96"/>
      <c r="E6" s="97"/>
      <c r="G6" s="94"/>
    </row>
    <row r="7" spans="2:7" x14ac:dyDescent="0.25">
      <c r="C7" s="98"/>
      <c r="D7" s="94"/>
      <c r="E7" s="99"/>
      <c r="G7" s="94"/>
    </row>
    <row r="8" spans="2:7" x14ac:dyDescent="0.25">
      <c r="C8" s="98"/>
      <c r="D8" s="94"/>
      <c r="E8" s="99"/>
      <c r="G8" s="94"/>
    </row>
    <row r="9" spans="2:7" x14ac:dyDescent="0.25">
      <c r="C9" s="98"/>
      <c r="D9" s="94"/>
      <c r="E9" s="99"/>
      <c r="G9" s="94"/>
    </row>
    <row r="10" spans="2:7" x14ac:dyDescent="0.25">
      <c r="C10" s="98"/>
      <c r="D10" s="94"/>
      <c r="E10" s="99"/>
      <c r="G10" s="94"/>
    </row>
    <row r="11" spans="2:7" x14ac:dyDescent="0.25">
      <c r="C11" s="98"/>
      <c r="D11" s="94"/>
      <c r="E11" s="99"/>
      <c r="G11" s="94"/>
    </row>
    <row r="12" spans="2:7" x14ac:dyDescent="0.25">
      <c r="C12" s="98"/>
      <c r="D12" s="94"/>
      <c r="E12" s="99"/>
      <c r="G12" s="94"/>
    </row>
    <row r="13" spans="2:7" ht="15.75" thickBot="1" x14ac:dyDescent="0.3">
      <c r="C13" s="100"/>
      <c r="D13" s="101"/>
      <c r="E13" s="102"/>
      <c r="G13" s="94"/>
    </row>
    <row r="14" spans="2:7" ht="15.75" thickTop="1" x14ac:dyDescent="0.25">
      <c r="C14" s="59"/>
      <c r="D14" s="59"/>
      <c r="E14" s="59"/>
    </row>
    <row r="15" spans="2:7" ht="15.75" thickBot="1" x14ac:dyDescent="0.3"/>
    <row r="16" spans="2:7" ht="15.75" thickTop="1" x14ac:dyDescent="0.25">
      <c r="B16" s="58" t="str">
        <f>EMP_INFORMATION!B7</f>
        <v>Charles Ricky</v>
      </c>
      <c r="C16" s="95" t="e" vm="2">
        <v>#VALUE!</v>
      </c>
      <c r="D16" s="96"/>
      <c r="E16" s="97"/>
    </row>
    <row r="17" spans="2:5" x14ac:dyDescent="0.25">
      <c r="C17" s="98"/>
      <c r="D17" s="94"/>
      <c r="E17" s="99"/>
    </row>
    <row r="18" spans="2:5" x14ac:dyDescent="0.25">
      <c r="C18" s="98"/>
      <c r="D18" s="94"/>
      <c r="E18" s="99"/>
    </row>
    <row r="19" spans="2:5" x14ac:dyDescent="0.25">
      <c r="C19" s="98"/>
      <c r="D19" s="94"/>
      <c r="E19" s="99"/>
    </row>
    <row r="20" spans="2:5" x14ac:dyDescent="0.25">
      <c r="C20" s="98"/>
      <c r="D20" s="94"/>
      <c r="E20" s="99"/>
    </row>
    <row r="21" spans="2:5" x14ac:dyDescent="0.25">
      <c r="C21" s="98"/>
      <c r="D21" s="94"/>
      <c r="E21" s="99"/>
    </row>
    <row r="22" spans="2:5" x14ac:dyDescent="0.25">
      <c r="C22" s="98"/>
      <c r="D22" s="94"/>
      <c r="E22" s="99"/>
    </row>
    <row r="23" spans="2:5" ht="15.75" thickBot="1" x14ac:dyDescent="0.3">
      <c r="C23" s="100"/>
      <c r="D23" s="101"/>
      <c r="E23" s="102"/>
    </row>
    <row r="24" spans="2:5" ht="15.75" thickTop="1" x14ac:dyDescent="0.25">
      <c r="C24" s="59"/>
      <c r="D24" s="59"/>
      <c r="E24" s="59"/>
    </row>
    <row r="25" spans="2:5" ht="15.75" thickBot="1" x14ac:dyDescent="0.3"/>
    <row r="26" spans="2:5" ht="15.75" thickTop="1" x14ac:dyDescent="0.25">
      <c r="B26" s="58" t="str">
        <f>EMP_INFORMATION!B8</f>
        <v>Hossam Khild</v>
      </c>
      <c r="C26" s="95" t="e" vm="3">
        <v>#VALUE!</v>
      </c>
      <c r="D26" s="96"/>
      <c r="E26" s="97"/>
    </row>
    <row r="27" spans="2:5" x14ac:dyDescent="0.25">
      <c r="C27" s="98"/>
      <c r="D27" s="94"/>
      <c r="E27" s="99"/>
    </row>
    <row r="28" spans="2:5" x14ac:dyDescent="0.25">
      <c r="C28" s="98"/>
      <c r="D28" s="94"/>
      <c r="E28" s="99"/>
    </row>
    <row r="29" spans="2:5" x14ac:dyDescent="0.25">
      <c r="C29" s="98"/>
      <c r="D29" s="94"/>
      <c r="E29" s="99"/>
    </row>
    <row r="30" spans="2:5" x14ac:dyDescent="0.25">
      <c r="C30" s="98"/>
      <c r="D30" s="94"/>
      <c r="E30" s="99"/>
    </row>
    <row r="31" spans="2:5" x14ac:dyDescent="0.25">
      <c r="C31" s="98"/>
      <c r="D31" s="94"/>
      <c r="E31" s="99"/>
    </row>
    <row r="32" spans="2:5" x14ac:dyDescent="0.25">
      <c r="C32" s="98"/>
      <c r="D32" s="94"/>
      <c r="E32" s="99"/>
    </row>
    <row r="33" spans="2:5" ht="15.75" thickBot="1" x14ac:dyDescent="0.3">
      <c r="C33" s="100"/>
      <c r="D33" s="101"/>
      <c r="E33" s="102"/>
    </row>
    <row r="34" spans="2:5" ht="15.75" thickTop="1" x14ac:dyDescent="0.25">
      <c r="C34" s="59"/>
      <c r="D34" s="59"/>
      <c r="E34" s="59"/>
    </row>
    <row r="35" spans="2:5" ht="15.75" thickBot="1" x14ac:dyDescent="0.3"/>
    <row r="36" spans="2:5" ht="15.75" thickTop="1" x14ac:dyDescent="0.25">
      <c r="B36" s="58" t="str">
        <f>EMP_INFORMATION!B9</f>
        <v>Joseph Mike</v>
      </c>
      <c r="C36" s="95" t="e" vm="4">
        <v>#VALUE!</v>
      </c>
      <c r="D36" s="96"/>
      <c r="E36" s="97"/>
    </row>
    <row r="37" spans="2:5" x14ac:dyDescent="0.25">
      <c r="C37" s="98"/>
      <c r="D37" s="94"/>
      <c r="E37" s="99"/>
    </row>
    <row r="38" spans="2:5" x14ac:dyDescent="0.25">
      <c r="C38" s="98"/>
      <c r="D38" s="94"/>
      <c r="E38" s="99"/>
    </row>
    <row r="39" spans="2:5" x14ac:dyDescent="0.25">
      <c r="C39" s="98"/>
      <c r="D39" s="94"/>
      <c r="E39" s="99"/>
    </row>
    <row r="40" spans="2:5" x14ac:dyDescent="0.25">
      <c r="C40" s="98"/>
      <c r="D40" s="94"/>
      <c r="E40" s="99"/>
    </row>
    <row r="41" spans="2:5" x14ac:dyDescent="0.25">
      <c r="C41" s="98"/>
      <c r="D41" s="94"/>
      <c r="E41" s="99"/>
    </row>
    <row r="42" spans="2:5" x14ac:dyDescent="0.25">
      <c r="C42" s="98"/>
      <c r="D42" s="94"/>
      <c r="E42" s="99"/>
    </row>
    <row r="43" spans="2:5" ht="15.75" thickBot="1" x14ac:dyDescent="0.3">
      <c r="C43" s="100"/>
      <c r="D43" s="101"/>
      <c r="E43" s="102"/>
    </row>
    <row r="44" spans="2:5" ht="15.75" thickTop="1" x14ac:dyDescent="0.25"/>
    <row r="45" spans="2:5" ht="15.75" thickBot="1" x14ac:dyDescent="0.3"/>
    <row r="46" spans="2:5" ht="15.75" thickTop="1" x14ac:dyDescent="0.25">
      <c r="B46" s="58" t="str">
        <f>EMP_INFORMATION!B10</f>
        <v>Richard Jeo</v>
      </c>
      <c r="C46" s="95" t="e" vm="5">
        <v>#VALUE!</v>
      </c>
      <c r="D46" s="96"/>
      <c r="E46" s="97"/>
    </row>
    <row r="47" spans="2:5" x14ac:dyDescent="0.25">
      <c r="C47" s="98"/>
      <c r="D47" s="94"/>
      <c r="E47" s="99"/>
    </row>
    <row r="48" spans="2:5" x14ac:dyDescent="0.25">
      <c r="C48" s="98"/>
      <c r="D48" s="94"/>
      <c r="E48" s="99"/>
    </row>
    <row r="49" spans="2:5" x14ac:dyDescent="0.25">
      <c r="C49" s="98"/>
      <c r="D49" s="94"/>
      <c r="E49" s="99"/>
    </row>
    <row r="50" spans="2:5" x14ac:dyDescent="0.25">
      <c r="C50" s="98"/>
      <c r="D50" s="94"/>
      <c r="E50" s="99"/>
    </row>
    <row r="51" spans="2:5" x14ac:dyDescent="0.25">
      <c r="C51" s="98"/>
      <c r="D51" s="94"/>
      <c r="E51" s="99"/>
    </row>
    <row r="52" spans="2:5" x14ac:dyDescent="0.25">
      <c r="C52" s="98"/>
      <c r="D52" s="94"/>
      <c r="E52" s="99"/>
    </row>
    <row r="53" spans="2:5" ht="15.75" thickBot="1" x14ac:dyDescent="0.3">
      <c r="C53" s="100"/>
      <c r="D53" s="101"/>
      <c r="E53" s="102"/>
    </row>
    <row r="54" spans="2:5" ht="15.75" thickTop="1" x14ac:dyDescent="0.25"/>
    <row r="55" spans="2:5" ht="15.75" thickBot="1" x14ac:dyDescent="0.3"/>
    <row r="56" spans="2:5" ht="15.75" thickTop="1" x14ac:dyDescent="0.25">
      <c r="B56" s="58" t="str">
        <f>EMP_INFORMATION!B11</f>
        <v>Thomas Joey</v>
      </c>
      <c r="C56" s="95" t="e" vm="6">
        <v>#VALUE!</v>
      </c>
      <c r="D56" s="96"/>
      <c r="E56" s="97"/>
    </row>
    <row r="57" spans="2:5" x14ac:dyDescent="0.25">
      <c r="C57" s="98"/>
      <c r="D57" s="94"/>
      <c r="E57" s="99"/>
    </row>
    <row r="58" spans="2:5" x14ac:dyDescent="0.25">
      <c r="C58" s="98"/>
      <c r="D58" s="94"/>
      <c r="E58" s="99"/>
    </row>
    <row r="59" spans="2:5" x14ac:dyDescent="0.25">
      <c r="C59" s="98"/>
      <c r="D59" s="94"/>
      <c r="E59" s="99"/>
    </row>
    <row r="60" spans="2:5" x14ac:dyDescent="0.25">
      <c r="C60" s="98"/>
      <c r="D60" s="94"/>
      <c r="E60" s="99"/>
    </row>
    <row r="61" spans="2:5" x14ac:dyDescent="0.25">
      <c r="C61" s="98"/>
      <c r="D61" s="94"/>
      <c r="E61" s="99"/>
    </row>
    <row r="62" spans="2:5" x14ac:dyDescent="0.25">
      <c r="C62" s="98"/>
      <c r="D62" s="94"/>
      <c r="E62" s="99"/>
    </row>
    <row r="63" spans="2:5" ht="15.75" thickBot="1" x14ac:dyDescent="0.3">
      <c r="C63" s="100"/>
      <c r="D63" s="101"/>
      <c r="E63" s="102"/>
    </row>
    <row r="64" spans="2:5" ht="15.75" thickTop="1" x14ac:dyDescent="0.25"/>
    <row r="68" spans="3:5" ht="28.5" customHeight="1" x14ac:dyDescent="0.25"/>
    <row r="69" spans="3:5" ht="125.25" customHeight="1" x14ac:dyDescent="0.25"/>
    <row r="76" spans="3:5" x14ac:dyDescent="0.25">
      <c r="C76" s="94"/>
      <c r="D76" s="94"/>
      <c r="E76" s="94"/>
    </row>
    <row r="77" spans="3:5" x14ac:dyDescent="0.25">
      <c r="C77" s="94"/>
      <c r="D77" s="94"/>
      <c r="E77" s="94"/>
    </row>
    <row r="78" spans="3:5" x14ac:dyDescent="0.25">
      <c r="C78" s="94"/>
      <c r="D78" s="94"/>
      <c r="E78" s="94"/>
    </row>
    <row r="79" spans="3:5" x14ac:dyDescent="0.25">
      <c r="C79" s="94"/>
      <c r="D79" s="94"/>
      <c r="E79" s="94"/>
    </row>
    <row r="80" spans="3:5" x14ac:dyDescent="0.25">
      <c r="C80" s="94"/>
      <c r="D80" s="94"/>
      <c r="E80" s="94"/>
    </row>
    <row r="81" spans="3:5" x14ac:dyDescent="0.25">
      <c r="C81" s="94"/>
      <c r="D81" s="94"/>
      <c r="E81" s="94"/>
    </row>
    <row r="82" spans="3:5" x14ac:dyDescent="0.25">
      <c r="C82" s="94"/>
      <c r="D82" s="94"/>
      <c r="E82" s="94"/>
    </row>
    <row r="83" spans="3:5" x14ac:dyDescent="0.25">
      <c r="C83" s="94"/>
      <c r="D83" s="94"/>
      <c r="E83" s="94"/>
    </row>
  </sheetData>
  <mergeCells count="8">
    <mergeCell ref="G6:G13"/>
    <mergeCell ref="C6:E13"/>
    <mergeCell ref="C76:E83"/>
    <mergeCell ref="C16:E23"/>
    <mergeCell ref="C26:E33"/>
    <mergeCell ref="C36:E43"/>
    <mergeCell ref="C46:E53"/>
    <mergeCell ref="C56:E63"/>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2288C-D729-470D-82E3-21F317367BB5}">
  <sheetPr codeName="Sheet3">
    <tabColor theme="6" tint="0.39997558519241921"/>
  </sheetPr>
  <dimension ref="A1:AC19"/>
  <sheetViews>
    <sheetView showGridLines="0" showRowColHeaders="0" zoomScale="70" zoomScaleNormal="70" workbookViewId="0">
      <selection activeCell="C25" sqref="C25"/>
    </sheetView>
  </sheetViews>
  <sheetFormatPr defaultRowHeight="15" x14ac:dyDescent="0.25"/>
  <cols>
    <col min="1" max="2" width="9.140625" style="42"/>
    <col min="3" max="5" width="9.140625" style="42" customWidth="1"/>
    <col min="6" max="6" width="11.140625" style="42" customWidth="1"/>
    <col min="7" max="7" width="9.140625" style="42" customWidth="1"/>
    <col min="8" max="16384" width="9.140625" style="42"/>
  </cols>
  <sheetData>
    <row r="1" spans="1:29" x14ac:dyDescent="0.25">
      <c r="A1" s="42" t="s">
        <v>239</v>
      </c>
    </row>
    <row r="6" spans="1:29" x14ac:dyDescent="0.25">
      <c r="E6" s="103" t="e" vm="7">
        <f>VLOOKUP('PIVIOT TABLE'!AV11,'EMP PHOTO'!$B:$E,2,FALSE)</f>
        <v>#VALUE!</v>
      </c>
      <c r="F6" s="103"/>
      <c r="G6" s="103"/>
    </row>
    <row r="7" spans="1:29" x14ac:dyDescent="0.25">
      <c r="E7" s="103"/>
      <c r="F7" s="103"/>
      <c r="G7" s="103"/>
    </row>
    <row r="8" spans="1:29" x14ac:dyDescent="0.25">
      <c r="E8" s="103"/>
      <c r="F8" s="103"/>
      <c r="G8" s="103"/>
    </row>
    <row r="9" spans="1:29" x14ac:dyDescent="0.25">
      <c r="E9" s="103"/>
      <c r="F9" s="103"/>
      <c r="G9" s="103"/>
    </row>
    <row r="10" spans="1:29" x14ac:dyDescent="0.25">
      <c r="E10" s="103"/>
      <c r="F10" s="103"/>
      <c r="G10" s="103"/>
    </row>
    <row r="11" spans="1:29" x14ac:dyDescent="0.25">
      <c r="E11" s="103"/>
      <c r="F11" s="103"/>
      <c r="G11" s="103"/>
    </row>
    <row r="12" spans="1:29" x14ac:dyDescent="0.25">
      <c r="E12" s="103"/>
      <c r="F12" s="103"/>
      <c r="G12" s="103"/>
    </row>
    <row r="13" spans="1:29" x14ac:dyDescent="0.25">
      <c r="E13" s="103"/>
      <c r="F13" s="103"/>
      <c r="G13" s="103"/>
    </row>
    <row r="14" spans="1:29" x14ac:dyDescent="0.25">
      <c r="E14" s="103"/>
      <c r="F14" s="103"/>
      <c r="G14" s="103"/>
    </row>
    <row r="16" spans="1:29" x14ac:dyDescent="0.25">
      <c r="AC16" s="42" t="s">
        <v>279</v>
      </c>
    </row>
    <row r="19" spans="28:28" x14ac:dyDescent="0.25">
      <c r="AB19" s="42" t="s">
        <v>239</v>
      </c>
    </row>
  </sheetData>
  <mergeCells count="1">
    <mergeCell ref="E6:G14"/>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E2C40-7BCB-4778-8A43-6AA13572F943}">
  <sheetPr codeName="Sheet4"/>
  <dimension ref="H4:Y43"/>
  <sheetViews>
    <sheetView showGridLines="0" showRowColHeaders="0" topLeftCell="C1" zoomScale="85" zoomScaleNormal="85" workbookViewId="0">
      <selection activeCell="F7" sqref="F7"/>
    </sheetView>
  </sheetViews>
  <sheetFormatPr defaultRowHeight="15" x14ac:dyDescent="0.25"/>
  <cols>
    <col min="1" max="16384" width="9.140625" style="88"/>
  </cols>
  <sheetData>
    <row r="4" spans="8:24" x14ac:dyDescent="0.25">
      <c r="H4" s="89"/>
      <c r="I4" s="89"/>
      <c r="J4" s="89"/>
      <c r="K4" s="89"/>
      <c r="L4" s="89"/>
      <c r="M4" s="89"/>
      <c r="T4" s="89"/>
      <c r="U4" s="89"/>
    </row>
    <row r="5" spans="8:24" ht="15.75" thickBot="1" x14ac:dyDescent="0.3">
      <c r="H5" s="90"/>
      <c r="I5" s="82"/>
      <c r="J5" s="82"/>
      <c r="K5" s="82"/>
      <c r="L5" s="82"/>
      <c r="M5" s="82"/>
      <c r="N5" s="82"/>
      <c r="O5" s="82"/>
      <c r="P5" s="82"/>
      <c r="Q5" s="82"/>
      <c r="R5" s="82"/>
      <c r="S5" s="82"/>
      <c r="T5" s="82"/>
      <c r="U5" s="82"/>
      <c r="V5" s="82"/>
      <c r="W5" s="82"/>
      <c r="X5" s="83"/>
    </row>
    <row r="6" spans="8:24" ht="25.5" customHeight="1" thickTop="1" thickBot="1" x14ac:dyDescent="0.3">
      <c r="H6" s="91"/>
      <c r="I6" s="81"/>
      <c r="J6" s="81"/>
      <c r="K6" s="81"/>
      <c r="L6" s="81"/>
      <c r="M6" s="81"/>
      <c r="N6" s="116" t="s">
        <v>304</v>
      </c>
      <c r="O6" s="117"/>
      <c r="P6" s="117"/>
      <c r="Q6" s="117"/>
      <c r="R6" s="118"/>
      <c r="S6" s="84"/>
      <c r="T6" s="81"/>
      <c r="U6" s="81"/>
      <c r="V6" s="81"/>
      <c r="W6" s="81"/>
      <c r="X6" s="85"/>
    </row>
    <row r="7" spans="8:24" ht="25.5" customHeight="1" thickTop="1" x14ac:dyDescent="0.25">
      <c r="H7" s="91"/>
      <c r="I7" s="81"/>
      <c r="J7" s="81"/>
      <c r="K7" s="81"/>
      <c r="L7" s="81"/>
      <c r="M7" s="81"/>
      <c r="N7" s="93"/>
      <c r="O7" s="93"/>
      <c r="P7" s="93"/>
      <c r="Q7" s="93"/>
      <c r="R7" s="93"/>
      <c r="S7" s="81"/>
      <c r="T7" s="81"/>
      <c r="U7" s="81"/>
      <c r="V7" s="81"/>
      <c r="W7" s="81"/>
      <c r="X7" s="85"/>
    </row>
    <row r="8" spans="8:24" x14ac:dyDescent="0.25">
      <c r="H8" s="91"/>
      <c r="I8" s="81"/>
      <c r="J8" s="81"/>
      <c r="K8" s="81"/>
      <c r="L8" s="81"/>
      <c r="M8" s="81"/>
      <c r="N8" s="81"/>
      <c r="O8" s="81"/>
      <c r="P8" s="81"/>
      <c r="Q8" s="81"/>
      <c r="R8" s="81"/>
      <c r="S8" s="81"/>
      <c r="T8" s="81"/>
      <c r="U8" s="81"/>
      <c r="V8" s="81"/>
      <c r="W8" s="81"/>
      <c r="X8" s="85"/>
    </row>
    <row r="9" spans="8:24" x14ac:dyDescent="0.25">
      <c r="H9" s="91"/>
      <c r="I9" s="104" t="e" vm="7">
        <f>DASHBORDS!E6</f>
        <v>#VALUE!</v>
      </c>
      <c r="J9" s="105"/>
      <c r="K9" s="106"/>
      <c r="L9" s="81"/>
      <c r="M9" s="81"/>
      <c r="N9" s="81"/>
      <c r="O9" s="81"/>
      <c r="P9" s="81"/>
      <c r="Q9" s="81"/>
      <c r="R9" s="81"/>
      <c r="S9" s="81"/>
      <c r="T9" s="81"/>
      <c r="U9" s="81"/>
      <c r="V9" s="81"/>
      <c r="W9" s="81"/>
      <c r="X9" s="85"/>
    </row>
    <row r="10" spans="8:24" x14ac:dyDescent="0.25">
      <c r="H10" s="91"/>
      <c r="I10" s="107"/>
      <c r="J10" s="108"/>
      <c r="K10" s="109"/>
      <c r="L10" s="81"/>
      <c r="M10" s="81"/>
      <c r="N10" s="81"/>
      <c r="O10" s="81"/>
      <c r="P10" s="81"/>
      <c r="Q10" s="81"/>
      <c r="R10" s="81"/>
      <c r="S10" s="81"/>
      <c r="T10" s="81"/>
      <c r="U10" s="81"/>
      <c r="V10" s="81"/>
      <c r="W10" s="81"/>
      <c r="X10" s="85"/>
    </row>
    <row r="11" spans="8:24" x14ac:dyDescent="0.25">
      <c r="H11" s="91"/>
      <c r="I11" s="107"/>
      <c r="J11" s="108"/>
      <c r="K11" s="109"/>
      <c r="L11" s="81"/>
      <c r="M11" s="81"/>
      <c r="N11" s="81"/>
      <c r="O11" s="81"/>
      <c r="P11" s="81"/>
      <c r="Q11" s="81"/>
      <c r="R11" s="81"/>
      <c r="S11" s="81"/>
      <c r="T11" s="81"/>
      <c r="U11" s="81"/>
      <c r="V11" s="81"/>
      <c r="W11" s="81"/>
      <c r="X11" s="85"/>
    </row>
    <row r="12" spans="8:24" x14ac:dyDescent="0.25">
      <c r="H12" s="91"/>
      <c r="I12" s="107"/>
      <c r="J12" s="108"/>
      <c r="K12" s="109"/>
      <c r="L12" s="81"/>
      <c r="M12" s="81"/>
      <c r="N12" s="81"/>
      <c r="O12" s="81"/>
      <c r="P12" s="81"/>
      <c r="Q12" s="81"/>
      <c r="R12" s="81"/>
      <c r="S12" s="81"/>
      <c r="T12" s="81"/>
      <c r="U12" s="81"/>
      <c r="V12" s="81"/>
      <c r="W12" s="81"/>
      <c r="X12" s="85"/>
    </row>
    <row r="13" spans="8:24" x14ac:dyDescent="0.25">
      <c r="H13" s="91"/>
      <c r="I13" s="107"/>
      <c r="J13" s="108"/>
      <c r="K13" s="109"/>
      <c r="L13" s="81"/>
      <c r="M13" s="81"/>
      <c r="N13" s="81"/>
      <c r="O13" s="81"/>
      <c r="P13" s="81"/>
      <c r="Q13" s="81"/>
      <c r="R13" s="81"/>
      <c r="S13" s="81"/>
      <c r="T13" s="81"/>
      <c r="U13" s="81"/>
      <c r="V13" s="81"/>
      <c r="W13" s="81"/>
      <c r="X13" s="85"/>
    </row>
    <row r="14" spans="8:24" x14ac:dyDescent="0.25">
      <c r="H14" s="91"/>
      <c r="I14" s="107"/>
      <c r="J14" s="108"/>
      <c r="K14" s="109"/>
      <c r="L14" s="81"/>
      <c r="M14" s="81"/>
      <c r="N14" s="81"/>
      <c r="O14" s="81"/>
      <c r="P14" s="81"/>
      <c r="Q14" s="81"/>
      <c r="R14" s="81"/>
      <c r="S14" s="81"/>
      <c r="T14" s="81"/>
      <c r="U14" s="81"/>
      <c r="V14" s="81"/>
      <c r="W14" s="81"/>
      <c r="X14" s="85"/>
    </row>
    <row r="15" spans="8:24" x14ac:dyDescent="0.25">
      <c r="H15" s="91"/>
      <c r="I15" s="107"/>
      <c r="J15" s="108"/>
      <c r="K15" s="109"/>
      <c r="L15" s="81"/>
      <c r="M15" s="81"/>
      <c r="N15" s="81"/>
      <c r="O15" s="81"/>
      <c r="P15" s="81"/>
      <c r="Q15" s="81"/>
      <c r="R15" s="81"/>
      <c r="S15" s="81"/>
      <c r="T15" s="81"/>
      <c r="U15" s="81"/>
      <c r="V15" s="81"/>
      <c r="W15" s="81"/>
      <c r="X15" s="85"/>
    </row>
    <row r="16" spans="8:24" x14ac:dyDescent="0.25">
      <c r="H16" s="91"/>
      <c r="I16" s="107"/>
      <c r="J16" s="108"/>
      <c r="K16" s="109"/>
      <c r="L16" s="81"/>
      <c r="M16" s="81"/>
      <c r="N16" s="81"/>
      <c r="O16" s="81"/>
      <c r="P16" s="81"/>
      <c r="Q16" s="81"/>
      <c r="R16" s="81"/>
      <c r="S16" s="81"/>
      <c r="T16" s="81"/>
      <c r="U16" s="81"/>
      <c r="V16" s="81"/>
      <c r="W16" s="81"/>
      <c r="X16" s="85"/>
    </row>
    <row r="17" spans="8:25" x14ac:dyDescent="0.25">
      <c r="H17" s="91"/>
      <c r="I17" s="110" t="s">
        <v>305</v>
      </c>
      <c r="J17" s="111"/>
      <c r="K17" s="112"/>
      <c r="L17" s="81"/>
      <c r="M17" s="81"/>
      <c r="N17" s="81"/>
      <c r="O17" s="81"/>
      <c r="P17" s="81"/>
      <c r="Q17" s="81"/>
      <c r="R17" s="81"/>
      <c r="S17" s="81"/>
      <c r="T17" s="81"/>
      <c r="U17" s="81"/>
      <c r="V17" s="81"/>
      <c r="W17" s="81"/>
      <c r="X17" s="85"/>
    </row>
    <row r="18" spans="8:25" x14ac:dyDescent="0.25">
      <c r="H18" s="91"/>
      <c r="I18" s="113"/>
      <c r="J18" s="114"/>
      <c r="K18" s="115"/>
      <c r="L18" s="81"/>
      <c r="M18" s="81"/>
      <c r="N18" s="81"/>
      <c r="O18" s="81"/>
      <c r="P18" s="81"/>
      <c r="Q18" s="81"/>
      <c r="R18" s="81"/>
      <c r="S18" s="81"/>
      <c r="T18" s="81"/>
      <c r="U18" s="81"/>
      <c r="V18" s="81"/>
      <c r="W18" s="81"/>
      <c r="X18" s="85"/>
    </row>
    <row r="19" spans="8:25" x14ac:dyDescent="0.25">
      <c r="H19" s="91"/>
      <c r="I19" s="81"/>
      <c r="J19" s="81"/>
      <c r="K19" s="81"/>
      <c r="L19" s="81"/>
      <c r="M19" s="81"/>
      <c r="N19" s="81"/>
      <c r="O19" s="81"/>
      <c r="P19" s="81"/>
      <c r="Q19" s="81"/>
      <c r="R19" s="81"/>
      <c r="S19" s="81"/>
      <c r="T19" s="81"/>
      <c r="U19" s="81"/>
      <c r="V19" s="81"/>
      <c r="W19" s="81"/>
      <c r="X19" s="85"/>
    </row>
    <row r="20" spans="8:25" x14ac:dyDescent="0.25">
      <c r="H20" s="91"/>
      <c r="I20" s="81"/>
      <c r="J20" s="81"/>
      <c r="K20" s="81"/>
      <c r="L20" s="81"/>
      <c r="M20" s="81"/>
      <c r="N20" s="81"/>
      <c r="O20" s="81"/>
      <c r="P20" s="81"/>
      <c r="Q20" s="81"/>
      <c r="R20" s="81"/>
      <c r="S20" s="81"/>
      <c r="T20" s="81"/>
      <c r="U20" s="81"/>
      <c r="V20" s="81"/>
      <c r="W20" s="81"/>
      <c r="X20" s="85"/>
    </row>
    <row r="21" spans="8:25" x14ac:dyDescent="0.25">
      <c r="H21" s="91"/>
      <c r="I21" s="81"/>
      <c r="J21" s="81"/>
      <c r="K21" s="81"/>
      <c r="L21" s="81"/>
      <c r="M21" s="81"/>
      <c r="N21" s="81"/>
      <c r="O21" s="81"/>
      <c r="P21" s="81"/>
      <c r="Q21" s="81"/>
      <c r="R21" s="81"/>
      <c r="S21" s="81"/>
      <c r="T21" s="81"/>
      <c r="U21" s="81"/>
      <c r="V21" s="81"/>
      <c r="W21" s="81"/>
      <c r="X21" s="85"/>
    </row>
    <row r="22" spans="8:25" x14ac:dyDescent="0.25">
      <c r="H22" s="91"/>
      <c r="I22" s="81"/>
      <c r="J22" s="81"/>
      <c r="K22" s="81"/>
      <c r="L22" s="81"/>
      <c r="M22" s="81"/>
      <c r="N22" s="81"/>
      <c r="O22" s="81"/>
      <c r="P22" s="81"/>
      <c r="Q22" s="81"/>
      <c r="R22" s="81"/>
      <c r="S22" s="81"/>
      <c r="T22" s="81"/>
      <c r="U22" s="81"/>
      <c r="V22" s="81"/>
      <c r="W22" s="81"/>
      <c r="X22" s="85"/>
    </row>
    <row r="23" spans="8:25" x14ac:dyDescent="0.25">
      <c r="H23" s="91"/>
      <c r="I23" s="81"/>
      <c r="J23" s="81"/>
      <c r="K23" s="81"/>
      <c r="L23" s="81"/>
      <c r="M23" s="81"/>
      <c r="N23" s="81"/>
      <c r="O23" s="81"/>
      <c r="P23" s="81"/>
      <c r="Q23" s="81"/>
      <c r="R23" s="81"/>
      <c r="S23" s="81"/>
      <c r="T23" s="81"/>
      <c r="U23" s="81"/>
      <c r="V23" s="81"/>
      <c r="W23" s="81"/>
      <c r="X23" s="85"/>
    </row>
    <row r="24" spans="8:25" x14ac:dyDescent="0.25">
      <c r="H24" s="91"/>
      <c r="I24" s="81"/>
      <c r="J24" s="81"/>
      <c r="K24" s="81"/>
      <c r="L24" s="81"/>
      <c r="M24" s="81"/>
      <c r="N24" s="81"/>
      <c r="O24" s="81"/>
      <c r="P24" s="81"/>
      <c r="Q24" s="81"/>
      <c r="R24" s="81"/>
      <c r="S24" s="81"/>
      <c r="T24" s="81"/>
      <c r="U24" s="81"/>
      <c r="V24" s="81"/>
      <c r="W24" s="81"/>
      <c r="X24" s="85"/>
    </row>
    <row r="25" spans="8:25" x14ac:dyDescent="0.25">
      <c r="H25" s="91"/>
      <c r="I25" s="81"/>
      <c r="J25" s="81"/>
      <c r="K25" s="81"/>
      <c r="L25" s="81"/>
      <c r="M25" s="81"/>
      <c r="N25" s="81"/>
      <c r="O25" s="81"/>
      <c r="P25" s="81"/>
      <c r="Q25" s="81"/>
      <c r="R25" s="81"/>
      <c r="S25" s="81"/>
      <c r="T25" s="81"/>
      <c r="U25" s="81"/>
      <c r="V25" s="81"/>
      <c r="W25" s="81"/>
      <c r="X25" s="85"/>
    </row>
    <row r="26" spans="8:25" x14ac:dyDescent="0.25">
      <c r="H26" s="91"/>
      <c r="I26" s="81"/>
      <c r="J26" s="81"/>
      <c r="K26" s="81"/>
      <c r="L26" s="81"/>
      <c r="M26" s="81"/>
      <c r="N26" s="81"/>
      <c r="O26" s="81"/>
      <c r="P26" s="81"/>
      <c r="Q26" s="81"/>
      <c r="R26" s="81"/>
      <c r="S26" s="81"/>
      <c r="T26" s="81"/>
      <c r="U26" s="81"/>
      <c r="V26" s="81"/>
      <c r="W26" s="81"/>
      <c r="X26" s="85"/>
    </row>
    <row r="27" spans="8:25" x14ac:dyDescent="0.25">
      <c r="H27" s="92"/>
      <c r="I27" s="86"/>
      <c r="J27" s="86"/>
      <c r="K27" s="86"/>
      <c r="L27" s="86"/>
      <c r="M27" s="86"/>
      <c r="N27" s="86"/>
      <c r="O27" s="86"/>
      <c r="P27" s="86"/>
      <c r="Q27" s="86"/>
      <c r="R27" s="86"/>
      <c r="S27" s="86"/>
      <c r="T27" s="86"/>
      <c r="U27" s="86"/>
      <c r="V27" s="86"/>
      <c r="W27" s="86"/>
      <c r="X27" s="87"/>
    </row>
    <row r="28" spans="8:25" x14ac:dyDescent="0.25">
      <c r="H28" s="89"/>
      <c r="I28" s="89"/>
      <c r="J28" s="89"/>
      <c r="K28" s="89"/>
      <c r="L28" s="89"/>
      <c r="M28" s="89"/>
      <c r="N28" s="89"/>
      <c r="O28" s="89"/>
      <c r="P28" s="89"/>
      <c r="Q28" s="89"/>
      <c r="R28" s="89"/>
      <c r="S28" s="89"/>
      <c r="T28" s="89"/>
      <c r="U28" s="89"/>
      <c r="V28" s="89"/>
      <c r="W28" s="89"/>
      <c r="X28" s="89"/>
      <c r="Y28" s="89"/>
    </row>
    <row r="29" spans="8:25" x14ac:dyDescent="0.25">
      <c r="H29" s="89"/>
      <c r="I29" s="89"/>
      <c r="J29" s="89"/>
      <c r="K29" s="89"/>
      <c r="L29" s="89"/>
      <c r="M29" s="89"/>
      <c r="N29" s="89"/>
      <c r="O29" s="89"/>
      <c r="P29" s="89"/>
      <c r="Q29" s="89"/>
      <c r="R29" s="89"/>
      <c r="S29" s="89"/>
      <c r="T29" s="89"/>
      <c r="U29" s="89"/>
    </row>
    <row r="30" spans="8:25" x14ac:dyDescent="0.25">
      <c r="H30" s="89"/>
      <c r="I30" s="89"/>
      <c r="J30" s="89"/>
      <c r="K30" s="89"/>
      <c r="L30" s="89"/>
      <c r="M30" s="89"/>
      <c r="N30" s="89"/>
      <c r="O30" s="89"/>
      <c r="P30" s="89"/>
      <c r="Q30" s="89"/>
      <c r="R30" s="89"/>
      <c r="S30" s="89"/>
      <c r="T30" s="89"/>
      <c r="U30" s="89"/>
    </row>
    <row r="31" spans="8:25" x14ac:dyDescent="0.25">
      <c r="H31" s="89"/>
      <c r="I31" s="89"/>
      <c r="J31" s="89"/>
      <c r="K31" s="89"/>
      <c r="L31" s="89"/>
      <c r="M31" s="89"/>
      <c r="N31" s="89"/>
      <c r="O31" s="89"/>
      <c r="P31" s="89"/>
      <c r="Q31" s="89"/>
      <c r="R31" s="89"/>
      <c r="S31" s="89"/>
      <c r="T31" s="89"/>
      <c r="U31" s="89"/>
    </row>
    <row r="32" spans="8:25" x14ac:dyDescent="0.25">
      <c r="H32" s="89"/>
      <c r="I32" s="89"/>
      <c r="J32" s="89"/>
      <c r="K32" s="89"/>
      <c r="L32" s="89"/>
      <c r="M32" s="89"/>
      <c r="N32" s="89"/>
      <c r="O32" s="89"/>
      <c r="P32" s="89"/>
      <c r="Q32" s="89"/>
      <c r="R32" s="89"/>
      <c r="S32" s="89"/>
      <c r="T32" s="89"/>
      <c r="U32" s="89"/>
    </row>
    <row r="33" spans="8:21" x14ac:dyDescent="0.25">
      <c r="H33" s="89"/>
      <c r="I33" s="89"/>
      <c r="J33" s="89"/>
      <c r="K33" s="89"/>
      <c r="L33" s="89"/>
      <c r="M33" s="89"/>
      <c r="N33" s="89"/>
      <c r="O33" s="89"/>
      <c r="P33" s="89"/>
      <c r="Q33" s="89"/>
      <c r="R33" s="89"/>
      <c r="S33" s="89"/>
      <c r="T33" s="89"/>
      <c r="U33" s="89"/>
    </row>
    <row r="34" spans="8:21" x14ac:dyDescent="0.25">
      <c r="H34" s="89"/>
      <c r="I34" s="89"/>
      <c r="J34" s="89"/>
      <c r="K34" s="89"/>
      <c r="L34" s="89"/>
      <c r="M34" s="89"/>
      <c r="N34" s="89"/>
      <c r="O34" s="89"/>
      <c r="P34" s="89"/>
      <c r="Q34" s="89"/>
      <c r="R34" s="89"/>
      <c r="S34" s="89"/>
      <c r="T34" s="89"/>
      <c r="U34" s="89"/>
    </row>
    <row r="35" spans="8:21" x14ac:dyDescent="0.25">
      <c r="H35" s="89"/>
      <c r="I35" s="89"/>
      <c r="J35" s="89"/>
      <c r="K35" s="89"/>
      <c r="L35" s="89"/>
      <c r="M35" s="89"/>
      <c r="N35" s="89"/>
      <c r="O35" s="89"/>
      <c r="P35" s="89"/>
      <c r="Q35" s="89"/>
      <c r="R35" s="89"/>
      <c r="S35" s="89"/>
      <c r="T35" s="89"/>
      <c r="U35" s="89"/>
    </row>
    <row r="36" spans="8:21" x14ac:dyDescent="0.25">
      <c r="H36" s="89"/>
      <c r="I36" s="89"/>
      <c r="J36" s="89"/>
      <c r="K36" s="89"/>
      <c r="L36" s="89"/>
      <c r="M36" s="89"/>
      <c r="N36" s="89"/>
      <c r="O36" s="89"/>
      <c r="P36" s="89"/>
      <c r="Q36" s="89"/>
      <c r="R36" s="89"/>
      <c r="S36" s="89"/>
      <c r="T36" s="89"/>
      <c r="U36" s="89"/>
    </row>
    <row r="37" spans="8:21" x14ac:dyDescent="0.25">
      <c r="H37" s="89"/>
      <c r="I37" s="89"/>
      <c r="J37" s="89"/>
      <c r="K37" s="89"/>
      <c r="L37" s="89"/>
      <c r="M37" s="89"/>
      <c r="N37" s="89"/>
      <c r="O37" s="89"/>
      <c r="P37" s="89"/>
      <c r="Q37" s="89"/>
      <c r="R37" s="89"/>
      <c r="S37" s="89"/>
      <c r="T37" s="89"/>
      <c r="U37" s="89"/>
    </row>
    <row r="38" spans="8:21" x14ac:dyDescent="0.25">
      <c r="H38" s="89"/>
      <c r="I38" s="89"/>
      <c r="J38" s="89"/>
      <c r="K38" s="89"/>
      <c r="L38" s="89"/>
      <c r="M38" s="89"/>
      <c r="N38" s="89"/>
      <c r="O38" s="89"/>
      <c r="P38" s="89"/>
      <c r="Q38" s="89"/>
      <c r="R38" s="89"/>
      <c r="S38" s="89"/>
      <c r="T38" s="89"/>
      <c r="U38" s="89"/>
    </row>
    <row r="39" spans="8:21" x14ac:dyDescent="0.25">
      <c r="H39" s="89"/>
      <c r="I39" s="89"/>
      <c r="J39" s="89"/>
      <c r="K39" s="89"/>
      <c r="L39" s="89"/>
      <c r="M39" s="89"/>
      <c r="N39" s="89"/>
      <c r="O39" s="89"/>
      <c r="P39" s="89"/>
      <c r="Q39" s="89"/>
      <c r="R39" s="89"/>
      <c r="S39" s="89"/>
      <c r="T39" s="89"/>
      <c r="U39" s="89"/>
    </row>
    <row r="40" spans="8:21" x14ac:dyDescent="0.25">
      <c r="H40" s="89"/>
      <c r="I40" s="89"/>
      <c r="J40" s="89"/>
      <c r="K40" s="89"/>
      <c r="L40" s="89"/>
      <c r="M40" s="89"/>
      <c r="N40" s="89"/>
      <c r="O40" s="89"/>
      <c r="P40" s="89"/>
      <c r="Q40" s="89"/>
      <c r="R40" s="89"/>
      <c r="S40" s="89"/>
      <c r="T40" s="89"/>
      <c r="U40" s="89"/>
    </row>
    <row r="41" spans="8:21" x14ac:dyDescent="0.25">
      <c r="H41" s="89"/>
      <c r="I41" s="89"/>
      <c r="J41" s="89"/>
      <c r="K41" s="89"/>
      <c r="L41" s="89"/>
      <c r="M41" s="89"/>
      <c r="N41" s="89"/>
      <c r="O41" s="89"/>
      <c r="P41" s="89"/>
      <c r="Q41" s="89"/>
      <c r="R41" s="89"/>
      <c r="S41" s="89"/>
      <c r="T41" s="89"/>
      <c r="U41" s="89"/>
    </row>
    <row r="42" spans="8:21" x14ac:dyDescent="0.25">
      <c r="H42" s="89"/>
      <c r="I42" s="89"/>
      <c r="J42" s="89"/>
      <c r="K42" s="89"/>
      <c r="L42" s="89"/>
      <c r="M42" s="89"/>
      <c r="N42" s="89"/>
      <c r="O42" s="89"/>
      <c r="P42" s="89"/>
      <c r="Q42" s="89"/>
      <c r="R42" s="89"/>
      <c r="S42" s="89"/>
      <c r="T42" s="89"/>
      <c r="U42" s="89"/>
    </row>
    <row r="43" spans="8:21" x14ac:dyDescent="0.25">
      <c r="H43" s="89"/>
      <c r="I43" s="89"/>
      <c r="J43" s="89"/>
      <c r="K43" s="89"/>
      <c r="L43" s="89"/>
      <c r="M43" s="89"/>
      <c r="N43" s="89"/>
      <c r="O43" s="89"/>
      <c r="P43" s="89"/>
      <c r="Q43" s="89"/>
      <c r="R43" s="89"/>
      <c r="S43" s="89"/>
      <c r="T43" s="89"/>
      <c r="U43" s="89"/>
    </row>
  </sheetData>
  <mergeCells count="3">
    <mergeCell ref="I9:K16"/>
    <mergeCell ref="I17:K18"/>
    <mergeCell ref="N6:R6"/>
  </mergeCells>
  <pageMargins left="0.25" right="0.25"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DF">
                <anchor moveWithCells="1" sizeWithCells="1">
                  <from>
                    <xdr:col>24</xdr:col>
                    <xdr:colOff>180975</xdr:colOff>
                    <xdr:row>5</xdr:row>
                    <xdr:rowOff>314325</xdr:rowOff>
                  </from>
                  <to>
                    <xdr:col>25</xdr:col>
                    <xdr:colOff>504825</xdr:colOff>
                    <xdr:row>8</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314DE-2DE8-4512-AD93-8663A68E2AE3}">
  <sheetPr codeName="Sheet5"/>
  <dimension ref="A1:H10"/>
  <sheetViews>
    <sheetView tabSelected="1" zoomScaleNormal="100" workbookViewId="0">
      <selection activeCell="B2" sqref="B2"/>
    </sheetView>
  </sheetViews>
  <sheetFormatPr defaultRowHeight="15" x14ac:dyDescent="0.25"/>
  <cols>
    <col min="1" max="1" width="27" customWidth="1"/>
    <col min="2" max="2" width="29.5703125" customWidth="1"/>
    <col min="3" max="3" width="25.85546875" customWidth="1"/>
    <col min="4" max="4" width="30.42578125" customWidth="1"/>
    <col min="5" max="5" width="32.7109375" customWidth="1"/>
    <col min="6" max="6" width="14" customWidth="1"/>
  </cols>
  <sheetData>
    <row r="1" spans="1:8" ht="21" x14ac:dyDescent="0.35">
      <c r="A1" s="74" t="s">
        <v>295</v>
      </c>
      <c r="B1" s="75" t="s">
        <v>296</v>
      </c>
      <c r="C1" s="74" t="s">
        <v>297</v>
      </c>
      <c r="D1" s="74" t="s">
        <v>298</v>
      </c>
      <c r="E1" s="74" t="s">
        <v>299</v>
      </c>
      <c r="F1" s="74" t="s">
        <v>300</v>
      </c>
    </row>
    <row r="2" spans="1:8" ht="66" customHeight="1" x14ac:dyDescent="0.25">
      <c r="A2" s="76"/>
      <c r="B2" s="76"/>
      <c r="C2" s="77" t="s">
        <v>301</v>
      </c>
      <c r="D2" s="78" t="s">
        <v>303</v>
      </c>
      <c r="E2" s="79" t="s">
        <v>302</v>
      </c>
      <c r="F2" s="80"/>
    </row>
    <row r="3" spans="1:8" x14ac:dyDescent="0.25">
      <c r="A3" s="40"/>
      <c r="B3" s="40"/>
      <c r="C3" s="40"/>
      <c r="D3" s="40"/>
      <c r="E3" s="40"/>
      <c r="F3" s="40"/>
    </row>
    <row r="4" spans="1:8" x14ac:dyDescent="0.25">
      <c r="A4" s="40"/>
      <c r="B4" s="40"/>
      <c r="C4" s="40"/>
      <c r="D4" s="40"/>
      <c r="E4" s="40"/>
      <c r="F4" s="40"/>
    </row>
    <row r="5" spans="1:8" x14ac:dyDescent="0.25">
      <c r="A5" s="40"/>
      <c r="B5" s="40"/>
      <c r="C5" s="40"/>
      <c r="D5" s="40"/>
      <c r="E5" s="40"/>
      <c r="F5" s="40"/>
    </row>
    <row r="6" spans="1:8" x14ac:dyDescent="0.25">
      <c r="A6" s="40"/>
      <c r="B6" s="40"/>
      <c r="C6" s="40"/>
      <c r="D6" s="40"/>
      <c r="E6" s="40"/>
      <c r="F6" s="40"/>
    </row>
    <row r="7" spans="1:8" x14ac:dyDescent="0.25">
      <c r="A7" s="40"/>
      <c r="B7" s="40"/>
      <c r="C7" s="40"/>
      <c r="D7" s="40"/>
      <c r="E7" s="40"/>
      <c r="F7" s="40"/>
    </row>
    <row r="8" spans="1:8" x14ac:dyDescent="0.25">
      <c r="A8" s="40"/>
      <c r="B8" s="40"/>
      <c r="C8" s="40"/>
      <c r="D8" s="40"/>
      <c r="E8" s="40"/>
      <c r="F8" s="40"/>
      <c r="H8" s="40"/>
    </row>
    <row r="9" spans="1:8" x14ac:dyDescent="0.25">
      <c r="A9" s="40"/>
      <c r="B9" s="40"/>
      <c r="C9" s="40"/>
      <c r="D9" s="40"/>
      <c r="E9" s="40"/>
      <c r="F9" s="40"/>
    </row>
    <row r="10" spans="1:8" x14ac:dyDescent="0.25">
      <c r="A10" s="2"/>
      <c r="B10" s="2"/>
      <c r="C10" s="2"/>
      <c r="D10" s="2"/>
      <c r="E10" s="2"/>
      <c r="F10" s="2"/>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8F183-1FE9-4EBA-8A6F-1FEC1A03CB8B}">
  <sheetPr codeName="Sheet6"/>
  <dimension ref="B2:L11"/>
  <sheetViews>
    <sheetView zoomScaleNormal="100" workbookViewId="0">
      <selection activeCell="E26" sqref="E26"/>
    </sheetView>
  </sheetViews>
  <sheetFormatPr defaultRowHeight="15" x14ac:dyDescent="0.25"/>
  <cols>
    <col min="1" max="1" width="9.140625" style="11"/>
    <col min="2" max="2" width="30.28515625" style="11" customWidth="1"/>
    <col min="3" max="3" width="15" style="11" customWidth="1"/>
    <col min="4" max="4" width="12.28515625" style="11" bestFit="1" customWidth="1"/>
    <col min="5" max="5" width="30" style="11" bestFit="1" customWidth="1"/>
    <col min="6" max="6" width="20.7109375" style="11" bestFit="1" customWidth="1"/>
    <col min="7" max="7" width="16.5703125" style="11" customWidth="1"/>
    <col min="8" max="8" width="18.85546875" style="11" customWidth="1"/>
    <col min="9" max="9" width="19.7109375" style="11" customWidth="1"/>
    <col min="10" max="10" width="15.28515625" style="11" customWidth="1"/>
    <col min="11" max="11" width="9.85546875" style="11" customWidth="1"/>
    <col min="12" max="12" width="15.5703125" style="11" customWidth="1"/>
    <col min="13" max="16384" width="9.140625" style="11"/>
  </cols>
  <sheetData>
    <row r="2" spans="2:12" ht="36" x14ac:dyDescent="0.25">
      <c r="B2" s="12" t="s">
        <v>274</v>
      </c>
    </row>
    <row r="4" spans="2:12" ht="15.75" thickBot="1" x14ac:dyDescent="0.3"/>
    <row r="5" spans="2:12" ht="18.75" x14ac:dyDescent="0.25">
      <c r="B5" s="43" t="s">
        <v>23</v>
      </c>
      <c r="C5" s="44" t="s">
        <v>24</v>
      </c>
      <c r="D5" s="44" t="s">
        <v>25</v>
      </c>
      <c r="E5" s="44" t="s">
        <v>26</v>
      </c>
      <c r="F5" s="44" t="s">
        <v>27</v>
      </c>
      <c r="G5" s="44" t="s">
        <v>28</v>
      </c>
      <c r="H5" s="44" t="s">
        <v>29</v>
      </c>
      <c r="I5" s="44" t="s">
        <v>30</v>
      </c>
      <c r="J5" s="44" t="s">
        <v>31</v>
      </c>
      <c r="K5" s="44" t="s">
        <v>32</v>
      </c>
      <c r="L5" s="45" t="s">
        <v>33</v>
      </c>
    </row>
    <row r="6" spans="2:12" x14ac:dyDescent="0.25">
      <c r="B6" s="46" t="s">
        <v>68</v>
      </c>
      <c r="C6" s="47" t="s">
        <v>69</v>
      </c>
      <c r="D6" s="47" t="s">
        <v>54</v>
      </c>
      <c r="E6" s="47" t="s">
        <v>55</v>
      </c>
      <c r="F6" s="47" t="s">
        <v>276</v>
      </c>
      <c r="G6" s="47" t="s">
        <v>62</v>
      </c>
      <c r="H6" s="47" t="s">
        <v>39</v>
      </c>
      <c r="I6" s="46" t="s">
        <v>68</v>
      </c>
      <c r="J6" s="47" t="s">
        <v>41</v>
      </c>
      <c r="K6" s="48">
        <v>44067</v>
      </c>
      <c r="L6" s="49" t="s">
        <v>57</v>
      </c>
    </row>
    <row r="7" spans="2:12" x14ac:dyDescent="0.25">
      <c r="B7" s="46" t="s">
        <v>34</v>
      </c>
      <c r="C7" s="47" t="s">
        <v>35</v>
      </c>
      <c r="D7" s="47" t="s">
        <v>36</v>
      </c>
      <c r="E7" s="47" t="s">
        <v>37</v>
      </c>
      <c r="F7" s="47" t="s">
        <v>275</v>
      </c>
      <c r="G7" s="47" t="s">
        <v>38</v>
      </c>
      <c r="H7" s="47" t="s">
        <v>39</v>
      </c>
      <c r="I7" s="47" t="s">
        <v>40</v>
      </c>
      <c r="J7" s="47" t="s">
        <v>280</v>
      </c>
      <c r="K7" s="48">
        <v>44061</v>
      </c>
      <c r="L7" s="49" t="s">
        <v>42</v>
      </c>
    </row>
    <row r="8" spans="2:12" x14ac:dyDescent="0.25">
      <c r="B8" s="46" t="s">
        <v>58</v>
      </c>
      <c r="C8" s="47" t="s">
        <v>59</v>
      </c>
      <c r="D8" s="47" t="s">
        <v>60</v>
      </c>
      <c r="E8" s="47" t="s">
        <v>61</v>
      </c>
      <c r="F8" s="47" t="s">
        <v>277</v>
      </c>
      <c r="G8" s="47" t="s">
        <v>62</v>
      </c>
      <c r="H8" s="47" t="s">
        <v>39</v>
      </c>
      <c r="I8" s="47" t="s">
        <v>63</v>
      </c>
      <c r="J8" s="47" t="s">
        <v>281</v>
      </c>
      <c r="K8" s="48">
        <v>44088</v>
      </c>
      <c r="L8" s="49" t="s">
        <v>64</v>
      </c>
    </row>
    <row r="9" spans="2:12" x14ac:dyDescent="0.25">
      <c r="B9" s="46" t="s">
        <v>49</v>
      </c>
      <c r="C9" s="47" t="s">
        <v>65</v>
      </c>
      <c r="D9" s="47" t="s">
        <v>45</v>
      </c>
      <c r="E9" s="47" t="s">
        <v>46</v>
      </c>
      <c r="F9" s="47" t="s">
        <v>278</v>
      </c>
      <c r="G9" s="47" t="s">
        <v>47</v>
      </c>
      <c r="H9" s="47" t="s">
        <v>48</v>
      </c>
      <c r="I9" s="47" t="s">
        <v>66</v>
      </c>
      <c r="J9" s="47" t="s">
        <v>67</v>
      </c>
      <c r="K9" s="48">
        <v>44022</v>
      </c>
      <c r="L9" s="49" t="s">
        <v>51</v>
      </c>
    </row>
    <row r="10" spans="2:12" x14ac:dyDescent="0.25">
      <c r="B10" s="46" t="s">
        <v>43</v>
      </c>
      <c r="C10" s="47" t="s">
        <v>44</v>
      </c>
      <c r="D10" s="47" t="s">
        <v>45</v>
      </c>
      <c r="E10" s="47" t="s">
        <v>46</v>
      </c>
      <c r="F10" s="47" t="s">
        <v>278</v>
      </c>
      <c r="G10" s="47" t="s">
        <v>47</v>
      </c>
      <c r="H10" s="47" t="s">
        <v>48</v>
      </c>
      <c r="I10" s="47" t="s">
        <v>49</v>
      </c>
      <c r="J10" s="47" t="s">
        <v>50</v>
      </c>
      <c r="K10" s="48">
        <v>44022</v>
      </c>
      <c r="L10" s="49" t="s">
        <v>51</v>
      </c>
    </row>
    <row r="11" spans="2:12" ht="15.75" thickBot="1" x14ac:dyDescent="0.3">
      <c r="B11" s="50" t="s">
        <v>52</v>
      </c>
      <c r="C11" s="51" t="s">
        <v>53</v>
      </c>
      <c r="D11" s="51" t="s">
        <v>54</v>
      </c>
      <c r="E11" s="51" t="s">
        <v>55</v>
      </c>
      <c r="F11" s="51" t="s">
        <v>276</v>
      </c>
      <c r="G11" s="51" t="s">
        <v>47</v>
      </c>
      <c r="H11" s="51" t="s">
        <v>48</v>
      </c>
      <c r="I11" s="51" t="s">
        <v>52</v>
      </c>
      <c r="J11" s="51" t="s">
        <v>56</v>
      </c>
      <c r="K11" s="52">
        <v>44067</v>
      </c>
      <c r="L11" s="53" t="s">
        <v>57</v>
      </c>
    </row>
  </sheetData>
  <sortState xmlns:xlrd2="http://schemas.microsoft.com/office/spreadsheetml/2017/richdata2" ref="B6:L11">
    <sortCondition ref="B6:B11"/>
  </sortState>
  <pageMargins left="0.7" right="0.7" top="0.75" bottom="0.75" header="0.3" footer="0.3"/>
  <ignoredErrors>
    <ignoredError sqref="L9:L10" twoDigitTextYear="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819B1-6EA5-4BBB-B0A3-A5E58825B8B0}">
  <sheetPr codeName="Sheet7"/>
  <dimension ref="D3:BA158"/>
  <sheetViews>
    <sheetView zoomScaleNormal="100" workbookViewId="0">
      <selection activeCell="C20" sqref="C20"/>
    </sheetView>
  </sheetViews>
  <sheetFormatPr defaultRowHeight="15" x14ac:dyDescent="0.25"/>
  <cols>
    <col min="4" max="4" width="13.42578125" bestFit="1" customWidth="1"/>
    <col min="5" max="5" width="14.42578125" bestFit="1" customWidth="1"/>
    <col min="14" max="14" width="14.42578125" bestFit="1" customWidth="1"/>
    <col min="15" max="16" width="16" bestFit="1" customWidth="1"/>
    <col min="19" max="19" width="12.85546875" bestFit="1" customWidth="1"/>
    <col min="20" max="20" width="14.5703125" bestFit="1" customWidth="1"/>
    <col min="21" max="21" width="23.5703125" bestFit="1" customWidth="1"/>
    <col min="22" max="22" width="13.85546875" bestFit="1" customWidth="1"/>
    <col min="26" max="26" width="3.85546875" customWidth="1"/>
    <col min="27" max="27" width="10" customWidth="1"/>
    <col min="40" max="40" width="13.42578125" bestFit="1" customWidth="1"/>
    <col min="43" max="43" width="13.42578125" bestFit="1" customWidth="1"/>
    <col min="44" max="44" width="21.42578125" bestFit="1" customWidth="1"/>
    <col min="47" max="47" width="14.7109375" customWidth="1"/>
    <col min="48" max="48" width="28.7109375" customWidth="1"/>
    <col min="53" max="53" width="13.42578125" bestFit="1" customWidth="1"/>
  </cols>
  <sheetData>
    <row r="3" spans="4:53" x14ac:dyDescent="0.25">
      <c r="D3" s="32" t="s">
        <v>108</v>
      </c>
      <c r="G3" s="129" t="s">
        <v>109</v>
      </c>
      <c r="H3" s="129"/>
      <c r="J3" s="129" t="s">
        <v>112</v>
      </c>
      <c r="K3" s="129"/>
      <c r="N3" s="31" t="s">
        <v>235</v>
      </c>
      <c r="S3" t="s">
        <v>236</v>
      </c>
      <c r="AM3" s="119" t="s">
        <v>247</v>
      </c>
      <c r="AN3" s="120"/>
      <c r="AO3" s="121"/>
    </row>
    <row r="4" spans="4:53" x14ac:dyDescent="0.25">
      <c r="D4" s="2">
        <f>COUNTIF(E:E, "&gt;" &amp; TIME(0,0,0))</f>
        <v>104</v>
      </c>
      <c r="G4" s="128" t="s">
        <v>110</v>
      </c>
      <c r="H4" s="128"/>
      <c r="J4" s="128" t="s">
        <v>111</v>
      </c>
      <c r="K4" s="128"/>
      <c r="N4" s="1">
        <f>GETPIVOTDATA("Sum of Time Out", $P$6) - GETPIVOTDATA("Sum of Time In", $N$6)</f>
        <v>53.920833333333313</v>
      </c>
      <c r="S4" s="34">
        <f>GETPIVOTDATA("Delay",$S$6)</f>
        <v>6.7229166666666673</v>
      </c>
      <c r="AM4" s="122"/>
      <c r="AN4" s="123"/>
      <c r="AO4" s="124"/>
      <c r="AS4" s="41"/>
    </row>
    <row r="5" spans="4:53" x14ac:dyDescent="0.25">
      <c r="G5" s="2">
        <f>COUNTIF(E:E, "&lt;=" &amp; TIME(8,0,0))</f>
        <v>20</v>
      </c>
      <c r="J5" s="2">
        <f>COUNTIF(E:E, "&gt;" &amp; TIME(8,0,0))</f>
        <v>84</v>
      </c>
      <c r="AM5" s="125" t="s">
        <v>248</v>
      </c>
      <c r="AN5" s="126"/>
      <c r="AO5" s="127"/>
    </row>
    <row r="6" spans="4:53" x14ac:dyDescent="0.25">
      <c r="D6" s="29" t="s">
        <v>75</v>
      </c>
      <c r="E6" t="s">
        <v>233</v>
      </c>
      <c r="N6" t="s">
        <v>233</v>
      </c>
      <c r="P6" t="s">
        <v>234</v>
      </c>
      <c r="S6" t="s">
        <v>237</v>
      </c>
      <c r="U6" s="29" t="s">
        <v>75</v>
      </c>
      <c r="V6" t="s">
        <v>242</v>
      </c>
    </row>
    <row r="7" spans="4:53" x14ac:dyDescent="0.25">
      <c r="D7" s="30" t="s">
        <v>77</v>
      </c>
      <c r="E7" s="33">
        <v>0.42638888888888887</v>
      </c>
      <c r="N7" s="34">
        <v>40.687500000000007</v>
      </c>
      <c r="P7" s="34">
        <v>94.60833333333332</v>
      </c>
      <c r="S7" s="34">
        <v>6.7229166666666673</v>
      </c>
      <c r="U7" s="30" t="s">
        <v>241</v>
      </c>
      <c r="V7" s="37">
        <v>1</v>
      </c>
      <c r="X7" s="30"/>
      <c r="AN7" s="41" t="e" cm="1">
        <f t="array" ref="AN7">SUMPRODUCT((AN$10:AN$69)-((TIME(8,0,0))*(AN$10:AN$70))&gt;(TIME(8,0,0)))</f>
        <v>#VALUE!</v>
      </c>
      <c r="AO7" s="2"/>
      <c r="BA7" s="55" t="s">
        <v>75</v>
      </c>
    </row>
    <row r="8" spans="4:53" x14ac:dyDescent="0.25">
      <c r="D8" s="30" t="s">
        <v>78</v>
      </c>
      <c r="E8" s="33">
        <v>0.49722222222222223</v>
      </c>
      <c r="U8" s="30" t="s">
        <v>72</v>
      </c>
      <c r="V8" s="37">
        <v>1</v>
      </c>
      <c r="X8" s="30"/>
      <c r="AA8" t="s">
        <v>243</v>
      </c>
      <c r="AQ8" s="55" t="s">
        <v>75</v>
      </c>
      <c r="AR8" s="40" t="s">
        <v>273</v>
      </c>
      <c r="BA8" s="38" t="s">
        <v>68</v>
      </c>
    </row>
    <row r="9" spans="4:53" x14ac:dyDescent="0.25">
      <c r="D9" s="30" t="s">
        <v>79</v>
      </c>
      <c r="E9" s="33"/>
      <c r="U9" s="30" t="s">
        <v>71</v>
      </c>
      <c r="V9" s="37">
        <v>1</v>
      </c>
      <c r="X9" s="39" t="s">
        <v>238</v>
      </c>
      <c r="Y9" s="40">
        <f>VLOOKUP($X9,$U$6:$V$12,2,FALSE)</f>
        <v>2</v>
      </c>
      <c r="AB9">
        <v>2</v>
      </c>
      <c r="AC9" s="2" t="s">
        <v>244</v>
      </c>
      <c r="AF9" t="str">
        <f>IF(AND(Y9&gt;=1,Y9&lt;=AB9),AC9,"")</f>
        <v xml:space="preserve">Needs Manager Approval </v>
      </c>
      <c r="AN9" s="29" t="s">
        <v>75</v>
      </c>
      <c r="AQ9" s="38" t="s">
        <v>268</v>
      </c>
      <c r="AR9" s="56">
        <v>9.0756944444444443</v>
      </c>
      <c r="BA9" s="38" t="s">
        <v>76</v>
      </c>
    </row>
    <row r="10" spans="4:53" x14ac:dyDescent="0.25">
      <c r="D10" s="30" t="s">
        <v>80</v>
      </c>
      <c r="E10" s="33"/>
      <c r="U10" s="30" t="s">
        <v>70</v>
      </c>
      <c r="V10" s="37">
        <v>1</v>
      </c>
      <c r="X10" s="39" t="s">
        <v>240</v>
      </c>
      <c r="Y10" s="40">
        <f>VLOOKUP($X10,$U$6:$V$12,2,FALSE)</f>
        <v>43</v>
      </c>
      <c r="AB10">
        <v>5</v>
      </c>
      <c r="AC10" s="2" t="s">
        <v>245</v>
      </c>
      <c r="AF10" s="2" t="str">
        <f>IF(AND(Y9&gt;AB9,Y9&lt;=AB10),AC10,"")</f>
        <v/>
      </c>
      <c r="AN10" s="30" t="s">
        <v>249</v>
      </c>
      <c r="AQ10" s="38" t="s">
        <v>269</v>
      </c>
      <c r="AR10" s="56">
        <v>10.694444444444445</v>
      </c>
    </row>
    <row r="11" spans="4:53" x14ac:dyDescent="0.25">
      <c r="D11" s="30" t="s">
        <v>81</v>
      </c>
      <c r="E11" s="33">
        <v>0.48125000000000001</v>
      </c>
      <c r="U11" s="30" t="s">
        <v>240</v>
      </c>
      <c r="V11" s="37">
        <v>43</v>
      </c>
      <c r="X11" s="30"/>
      <c r="AB11">
        <v>7</v>
      </c>
      <c r="AC11" s="2" t="s">
        <v>246</v>
      </c>
      <c r="AF11" s="2" t="str">
        <f>IF(Y9&gt;AB11,AC11,"")</f>
        <v/>
      </c>
      <c r="AN11" s="30" t="s">
        <v>287</v>
      </c>
      <c r="AQ11" s="38" t="s">
        <v>270</v>
      </c>
      <c r="AR11" s="56">
        <v>12.568055555555553</v>
      </c>
      <c r="AU11" s="40" t="s">
        <v>23</v>
      </c>
      <c r="AV11" s="40" t="str">
        <f>BA8</f>
        <v>Ali Charle</v>
      </c>
    </row>
    <row r="12" spans="4:53" x14ac:dyDescent="0.25">
      <c r="D12" s="30" t="s">
        <v>82</v>
      </c>
      <c r="E12" s="33"/>
      <c r="U12" s="30" t="s">
        <v>238</v>
      </c>
      <c r="V12" s="37">
        <v>2</v>
      </c>
      <c r="X12" s="30"/>
      <c r="AN12" s="30" t="s">
        <v>288</v>
      </c>
      <c r="AQ12" s="38" t="s">
        <v>271</v>
      </c>
      <c r="AR12" s="56">
        <v>11.792361111111111</v>
      </c>
      <c r="AU12" s="40" t="s">
        <v>24</v>
      </c>
      <c r="AV12" s="40" t="str">
        <f>VLOOKUP($AV$11,EMP_INFORMATION!$B$5:$L$11,MATCH($AU12,EMP_INFORMATION!$B$5:$L$5,0),FALSE)</f>
        <v>652-20589</v>
      </c>
    </row>
    <row r="13" spans="4:53" x14ac:dyDescent="0.25">
      <c r="D13" s="30" t="s">
        <v>83</v>
      </c>
      <c r="E13" s="33">
        <v>0.30069444444444443</v>
      </c>
      <c r="U13" s="30" t="s">
        <v>239</v>
      </c>
      <c r="V13" s="37">
        <v>102</v>
      </c>
      <c r="AN13" s="30" t="s">
        <v>315</v>
      </c>
      <c r="AQ13" s="38" t="s">
        <v>272</v>
      </c>
      <c r="AR13" s="56">
        <v>9.7902777777777779</v>
      </c>
      <c r="AU13" s="40" t="s">
        <v>25</v>
      </c>
      <c r="AV13" s="40" t="str">
        <f>VLOOKUP($AV$11,EMP_INFORMATION!$B$5:$L$11,MATCH($AU13,EMP_INFORMATION!$B$5:$L$5,0),FALSE)</f>
        <v>Real Estate</v>
      </c>
    </row>
    <row r="14" spans="4:53" x14ac:dyDescent="0.25">
      <c r="D14" s="30" t="s">
        <v>84</v>
      </c>
      <c r="E14" s="33">
        <v>0.4909722222222222</v>
      </c>
      <c r="U14" s="30" t="s">
        <v>76</v>
      </c>
      <c r="V14" s="37">
        <v>151</v>
      </c>
      <c r="AN14" s="30" t="s">
        <v>250</v>
      </c>
      <c r="AU14" s="40" t="s">
        <v>26</v>
      </c>
      <c r="AV14" s="40" t="str">
        <f>VLOOKUP($AV$11,EMP_INFORMATION!$B$5:$L$11,MATCH($AU14,EMP_INFORMATION!$B$5:$L$5,0),FALSE)</f>
        <v>Human Resources Assistant</v>
      </c>
    </row>
    <row r="15" spans="4:53" x14ac:dyDescent="0.25">
      <c r="D15" s="30" t="s">
        <v>85</v>
      </c>
      <c r="E15" s="33">
        <v>0.40902777777777777</v>
      </c>
      <c r="AN15" s="30" t="s">
        <v>283</v>
      </c>
      <c r="AU15" s="40" t="s">
        <v>27</v>
      </c>
      <c r="AV15" s="40" t="str">
        <f>VLOOKUP($AV$11,EMP_INFORMATION!$B$5:$L$11,MATCH($AU15,EMP_INFORMATION!$B$5:$L$5,0),FALSE)</f>
        <v xml:space="preserve">The Human Resources Assistant is responsible for supporting daily HR functions and assisting in various administrative tasks. The role focuses on employee onboarding, maintaining HR records, payroll processing support, and general employee communication. </v>
      </c>
    </row>
    <row r="16" spans="4:53" x14ac:dyDescent="0.25">
      <c r="D16" s="30" t="s">
        <v>86</v>
      </c>
      <c r="E16" s="33"/>
      <c r="AN16" s="30" t="s">
        <v>251</v>
      </c>
      <c r="AU16" s="40" t="s">
        <v>28</v>
      </c>
      <c r="AV16" s="40" t="str">
        <f>VLOOKUP($AV$11,EMP_INFORMATION!$B$5:$L$11,MATCH($AU16,EMP_INFORMATION!$B$5:$L$5,0),FALSE)</f>
        <v>Head Office</v>
      </c>
    </row>
    <row r="17" spans="4:48" x14ac:dyDescent="0.25">
      <c r="D17" s="30" t="s">
        <v>87</v>
      </c>
      <c r="E17" s="33"/>
      <c r="AN17" s="30" t="s">
        <v>316</v>
      </c>
      <c r="AU17" s="40" t="s">
        <v>29</v>
      </c>
      <c r="AV17" s="40" t="str">
        <f>VLOOKUP($AV$11,EMP_INFORMATION!$B$5:$L$11,MATCH($AU17,EMP_INFORMATION!$B$5:$L$5,0),FALSE)</f>
        <v>Mid-level</v>
      </c>
    </row>
    <row r="18" spans="4:48" x14ac:dyDescent="0.25">
      <c r="D18" s="30" t="s">
        <v>88</v>
      </c>
      <c r="E18" s="33">
        <v>0.59444444444444444</v>
      </c>
      <c r="AN18" s="30" t="s">
        <v>252</v>
      </c>
      <c r="AU18" s="40" t="s">
        <v>30</v>
      </c>
      <c r="AV18" s="40" t="str">
        <f>VLOOKUP($AV$11,EMP_INFORMATION!$B$5:$L$11,MATCH($AU18,EMP_INFORMATION!$B$5:$L$5,0),FALSE)</f>
        <v>Ali Charle</v>
      </c>
    </row>
    <row r="19" spans="4:48" x14ac:dyDescent="0.25">
      <c r="D19" s="30" t="s">
        <v>89</v>
      </c>
      <c r="E19" s="33">
        <v>0.43472222222222223</v>
      </c>
      <c r="AN19" s="30" t="s">
        <v>253</v>
      </c>
      <c r="AU19" s="40" t="s">
        <v>31</v>
      </c>
      <c r="AV19" s="40" t="str">
        <f>VLOOKUP($AV$11,EMP_INFORMATION!$B$5:$L$11,MATCH($AU19,EMP_INFORMATION!$B$5:$L$5,0),FALSE)</f>
        <v>Egyptian</v>
      </c>
    </row>
    <row r="20" spans="4:48" x14ac:dyDescent="0.25">
      <c r="D20" s="30" t="s">
        <v>90</v>
      </c>
      <c r="E20" s="33">
        <v>0.30069444444444443</v>
      </c>
      <c r="AN20" s="30" t="s">
        <v>254</v>
      </c>
      <c r="AU20" s="40" t="s">
        <v>32</v>
      </c>
      <c r="AV20" s="54">
        <f>VLOOKUP($AV$11,EMP_INFORMATION!$B$5:$L$11,MATCH($AU20,EMP_INFORMATION!$B$5:$L$5,0),FALSE)</f>
        <v>44067</v>
      </c>
    </row>
    <row r="21" spans="4:48" x14ac:dyDescent="0.25">
      <c r="D21" s="30" t="s">
        <v>91</v>
      </c>
      <c r="E21" s="33">
        <v>0.46736111111111112</v>
      </c>
      <c r="AN21" s="30" t="s">
        <v>289</v>
      </c>
      <c r="AU21" s="40" t="s">
        <v>33</v>
      </c>
      <c r="AV21" s="40" t="str">
        <f>VLOOKUP($AV$11,EMP_INFORMATION!$B$5:$L$11,MATCH($AU21,EMP_INFORMATION!$B$5:$L$5,0),FALSE)</f>
        <v>7/25/22</v>
      </c>
    </row>
    <row r="22" spans="4:48" x14ac:dyDescent="0.25">
      <c r="D22" s="30" t="s">
        <v>92</v>
      </c>
      <c r="E22" s="33">
        <v>0.43194444444444446</v>
      </c>
      <c r="AN22" s="30" t="s">
        <v>323</v>
      </c>
    </row>
    <row r="23" spans="4:48" x14ac:dyDescent="0.25">
      <c r="D23" s="30" t="s">
        <v>93</v>
      </c>
      <c r="E23" s="33"/>
      <c r="AN23" s="30" t="s">
        <v>306</v>
      </c>
    </row>
    <row r="24" spans="4:48" x14ac:dyDescent="0.25">
      <c r="D24" s="30" t="s">
        <v>94</v>
      </c>
      <c r="E24" s="33"/>
      <c r="AN24" s="30" t="s">
        <v>255</v>
      </c>
    </row>
    <row r="25" spans="4:48" x14ac:dyDescent="0.25">
      <c r="D25" s="30" t="s">
        <v>95</v>
      </c>
      <c r="E25" s="33">
        <v>0.4548611111111111</v>
      </c>
      <c r="AN25" s="30" t="s">
        <v>317</v>
      </c>
    </row>
    <row r="26" spans="4:48" x14ac:dyDescent="0.25">
      <c r="D26" s="30" t="s">
        <v>96</v>
      </c>
      <c r="E26" s="33">
        <v>0.37638888888888888</v>
      </c>
      <c r="AN26" s="30" t="s">
        <v>307</v>
      </c>
    </row>
    <row r="27" spans="4:48" x14ac:dyDescent="0.25">
      <c r="D27" s="30" t="s">
        <v>97</v>
      </c>
      <c r="E27" s="33">
        <v>0.47361111111111115</v>
      </c>
      <c r="AN27" s="30" t="s">
        <v>318</v>
      </c>
    </row>
    <row r="28" spans="4:48" x14ac:dyDescent="0.25">
      <c r="D28" s="30" t="s">
        <v>98</v>
      </c>
      <c r="E28" s="33">
        <v>0.4152777777777778</v>
      </c>
      <c r="AN28" s="30" t="s">
        <v>256</v>
      </c>
    </row>
    <row r="29" spans="4:48" x14ac:dyDescent="0.25">
      <c r="D29" s="30" t="s">
        <v>99</v>
      </c>
      <c r="E29" s="33">
        <v>0.37291666666666662</v>
      </c>
      <c r="AN29" s="30" t="s">
        <v>257</v>
      </c>
    </row>
    <row r="30" spans="4:48" x14ac:dyDescent="0.25">
      <c r="D30" s="30" t="s">
        <v>100</v>
      </c>
      <c r="E30" s="33"/>
      <c r="AN30" s="30" t="s">
        <v>308</v>
      </c>
    </row>
    <row r="31" spans="4:48" x14ac:dyDescent="0.25">
      <c r="D31" s="30" t="s">
        <v>101</v>
      </c>
      <c r="E31" s="33"/>
      <c r="AN31" s="30" t="s">
        <v>258</v>
      </c>
    </row>
    <row r="32" spans="4:48" x14ac:dyDescent="0.25">
      <c r="D32" s="30" t="s">
        <v>102</v>
      </c>
      <c r="E32" s="33"/>
      <c r="AN32" s="30" t="s">
        <v>259</v>
      </c>
    </row>
    <row r="33" spans="4:40" x14ac:dyDescent="0.25">
      <c r="D33" s="30" t="s">
        <v>103</v>
      </c>
      <c r="E33" s="33">
        <v>0.3979166666666667</v>
      </c>
      <c r="AN33" s="30" t="s">
        <v>284</v>
      </c>
    </row>
    <row r="34" spans="4:40" x14ac:dyDescent="0.25">
      <c r="D34" s="30" t="s">
        <v>104</v>
      </c>
      <c r="E34" s="33">
        <v>0.35486111111111113</v>
      </c>
      <c r="AN34" s="30" t="s">
        <v>260</v>
      </c>
    </row>
    <row r="35" spans="4:40" x14ac:dyDescent="0.25">
      <c r="D35" s="30" t="s">
        <v>105</v>
      </c>
      <c r="E35" s="33">
        <v>0.36041666666666666</v>
      </c>
      <c r="AN35" s="30" t="s">
        <v>319</v>
      </c>
    </row>
    <row r="36" spans="4:40" x14ac:dyDescent="0.25">
      <c r="D36" s="30" t="s">
        <v>106</v>
      </c>
      <c r="E36" s="33">
        <v>0.40972222222222227</v>
      </c>
      <c r="AN36" s="30" t="s">
        <v>261</v>
      </c>
    </row>
    <row r="37" spans="4:40" x14ac:dyDescent="0.25">
      <c r="D37" s="30" t="s">
        <v>107</v>
      </c>
      <c r="E37" s="33"/>
      <c r="AN37" s="30" t="s">
        <v>309</v>
      </c>
    </row>
    <row r="38" spans="4:40" x14ac:dyDescent="0.25">
      <c r="D38" s="30" t="s">
        <v>113</v>
      </c>
      <c r="E38" s="33"/>
      <c r="AN38" s="30" t="s">
        <v>310</v>
      </c>
    </row>
    <row r="39" spans="4:40" x14ac:dyDescent="0.25">
      <c r="D39" s="30" t="s">
        <v>114</v>
      </c>
      <c r="E39" s="33">
        <v>0.36388888888888887</v>
      </c>
      <c r="AN39" s="30" t="s">
        <v>311</v>
      </c>
    </row>
    <row r="40" spans="4:40" x14ac:dyDescent="0.25">
      <c r="D40" s="30" t="s">
        <v>115</v>
      </c>
      <c r="E40" s="33">
        <v>0.38750000000000001</v>
      </c>
      <c r="AN40" s="30" t="s">
        <v>312</v>
      </c>
    </row>
    <row r="41" spans="4:40" x14ac:dyDescent="0.25">
      <c r="D41" s="30" t="s">
        <v>116</v>
      </c>
      <c r="E41" s="33">
        <v>0.38194444444444442</v>
      </c>
      <c r="AN41" s="30" t="s">
        <v>290</v>
      </c>
    </row>
    <row r="42" spans="4:40" x14ac:dyDescent="0.25">
      <c r="D42" s="30" t="s">
        <v>117</v>
      </c>
      <c r="E42" s="33">
        <v>0.46180555555555558</v>
      </c>
      <c r="AN42" s="30" t="s">
        <v>291</v>
      </c>
    </row>
    <row r="43" spans="4:40" x14ac:dyDescent="0.25">
      <c r="D43" s="30" t="s">
        <v>118</v>
      </c>
      <c r="E43" s="33">
        <v>0.31875000000000003</v>
      </c>
      <c r="AN43" s="30" t="s">
        <v>292</v>
      </c>
    </row>
    <row r="44" spans="4:40" x14ac:dyDescent="0.25">
      <c r="D44" s="30" t="s">
        <v>119</v>
      </c>
      <c r="E44" s="33"/>
      <c r="AN44" s="30" t="s">
        <v>262</v>
      </c>
    </row>
    <row r="45" spans="4:40" x14ac:dyDescent="0.25">
      <c r="D45" s="30" t="s">
        <v>120</v>
      </c>
      <c r="E45" s="33"/>
      <c r="AN45" s="30" t="s">
        <v>263</v>
      </c>
    </row>
    <row r="46" spans="4:40" x14ac:dyDescent="0.25">
      <c r="D46" s="30" t="s">
        <v>121</v>
      </c>
      <c r="E46" s="33">
        <v>0.44444444444444442</v>
      </c>
      <c r="AN46" s="30" t="s">
        <v>285</v>
      </c>
    </row>
    <row r="47" spans="4:40" x14ac:dyDescent="0.25">
      <c r="D47" s="30" t="s">
        <v>122</v>
      </c>
      <c r="E47" s="33">
        <v>0.34375</v>
      </c>
      <c r="AN47" s="30" t="s">
        <v>264</v>
      </c>
    </row>
    <row r="48" spans="4:40" x14ac:dyDescent="0.25">
      <c r="D48" s="30" t="s">
        <v>123</v>
      </c>
      <c r="E48" s="33">
        <v>0.3444444444444445</v>
      </c>
      <c r="AN48" s="30" t="s">
        <v>320</v>
      </c>
    </row>
    <row r="49" spans="4:40" x14ac:dyDescent="0.25">
      <c r="D49" s="30" t="s">
        <v>124</v>
      </c>
      <c r="E49" s="33">
        <v>0.3659722222222222</v>
      </c>
      <c r="AN49" s="30" t="s">
        <v>265</v>
      </c>
    </row>
    <row r="50" spans="4:40" x14ac:dyDescent="0.25">
      <c r="D50" s="30" t="s">
        <v>125</v>
      </c>
      <c r="E50" s="33">
        <v>0.3611111111111111</v>
      </c>
      <c r="AN50" s="30" t="s">
        <v>324</v>
      </c>
    </row>
    <row r="51" spans="4:40" x14ac:dyDescent="0.25">
      <c r="D51" s="30" t="s">
        <v>126</v>
      </c>
      <c r="E51" s="33"/>
      <c r="AN51" s="30" t="s">
        <v>286</v>
      </c>
    </row>
    <row r="52" spans="4:40" x14ac:dyDescent="0.25">
      <c r="D52" s="30" t="s">
        <v>127</v>
      </c>
      <c r="E52" s="33"/>
      <c r="AN52" s="30" t="s">
        <v>266</v>
      </c>
    </row>
    <row r="53" spans="4:40" x14ac:dyDescent="0.25">
      <c r="D53" s="30" t="s">
        <v>128</v>
      </c>
      <c r="E53" s="33">
        <v>0.34027777777777773</v>
      </c>
      <c r="AN53" s="30" t="s">
        <v>325</v>
      </c>
    </row>
    <row r="54" spans="4:40" x14ac:dyDescent="0.25">
      <c r="D54" s="30" t="s">
        <v>129</v>
      </c>
      <c r="E54" s="33">
        <v>0.40069444444444446</v>
      </c>
      <c r="AN54" s="30" t="s">
        <v>321</v>
      </c>
    </row>
    <row r="55" spans="4:40" x14ac:dyDescent="0.25">
      <c r="D55" s="30" t="s">
        <v>130</v>
      </c>
      <c r="E55" s="33">
        <v>0.45208333333333334</v>
      </c>
      <c r="AN55" s="30" t="s">
        <v>267</v>
      </c>
    </row>
    <row r="56" spans="4:40" x14ac:dyDescent="0.25">
      <c r="D56" s="30" t="s">
        <v>131</v>
      </c>
      <c r="E56" s="33">
        <v>0.45624999999999999</v>
      </c>
      <c r="AN56" s="30" t="s">
        <v>293</v>
      </c>
    </row>
    <row r="57" spans="4:40" x14ac:dyDescent="0.25">
      <c r="D57" s="30" t="s">
        <v>132</v>
      </c>
      <c r="E57" s="33">
        <v>0.3576388888888889</v>
      </c>
      <c r="AN57" s="30" t="s">
        <v>322</v>
      </c>
    </row>
    <row r="58" spans="4:40" x14ac:dyDescent="0.25">
      <c r="D58" s="30" t="s">
        <v>133</v>
      </c>
      <c r="E58" s="33"/>
      <c r="AN58" s="30" t="s">
        <v>326</v>
      </c>
    </row>
    <row r="59" spans="4:40" x14ac:dyDescent="0.25">
      <c r="D59" s="30" t="s">
        <v>134</v>
      </c>
      <c r="E59" s="33"/>
      <c r="AN59" s="30" t="s">
        <v>313</v>
      </c>
    </row>
    <row r="60" spans="4:40" x14ac:dyDescent="0.25">
      <c r="D60" s="30" t="s">
        <v>135</v>
      </c>
      <c r="E60" s="33">
        <v>0.41944444444444445</v>
      </c>
      <c r="AN60" s="30" t="s">
        <v>314</v>
      </c>
    </row>
    <row r="61" spans="4:40" x14ac:dyDescent="0.25">
      <c r="D61" s="30" t="s">
        <v>136</v>
      </c>
      <c r="E61" s="33">
        <v>0.41944444444444445</v>
      </c>
      <c r="AN61" s="30" t="s">
        <v>76</v>
      </c>
    </row>
    <row r="62" spans="4:40" x14ac:dyDescent="0.25">
      <c r="D62" s="30" t="s">
        <v>137</v>
      </c>
      <c r="E62" s="33">
        <v>0.4375</v>
      </c>
    </row>
    <row r="63" spans="4:40" x14ac:dyDescent="0.25">
      <c r="D63" s="30" t="s">
        <v>138</v>
      </c>
      <c r="E63" s="33">
        <v>0.44930555555555557</v>
      </c>
    </row>
    <row r="64" spans="4:40" x14ac:dyDescent="0.25">
      <c r="D64" s="30" t="s">
        <v>139</v>
      </c>
      <c r="E64" s="33">
        <v>0.3576388888888889</v>
      </c>
    </row>
    <row r="65" spans="4:5" x14ac:dyDescent="0.25">
      <c r="D65" s="30" t="s">
        <v>140</v>
      </c>
      <c r="E65" s="33"/>
    </row>
    <row r="66" spans="4:5" x14ac:dyDescent="0.25">
      <c r="D66" s="30" t="s">
        <v>141</v>
      </c>
      <c r="E66" s="33"/>
    </row>
    <row r="67" spans="4:5" x14ac:dyDescent="0.25">
      <c r="D67" s="30" t="s">
        <v>142</v>
      </c>
      <c r="E67" s="33">
        <v>0.45763888888888887</v>
      </c>
    </row>
    <row r="68" spans="4:5" x14ac:dyDescent="0.25">
      <c r="D68" s="30" t="s">
        <v>143</v>
      </c>
      <c r="E68" s="33">
        <v>0.33611111111111108</v>
      </c>
    </row>
    <row r="69" spans="4:5" x14ac:dyDescent="0.25">
      <c r="D69" s="30" t="s">
        <v>144</v>
      </c>
      <c r="E69" s="33">
        <v>0.35000000000000003</v>
      </c>
    </row>
    <row r="70" spans="4:5" x14ac:dyDescent="0.25">
      <c r="D70" s="30" t="s">
        <v>145</v>
      </c>
      <c r="E70" s="33">
        <v>0.2986111111111111</v>
      </c>
    </row>
    <row r="71" spans="4:5" x14ac:dyDescent="0.25">
      <c r="D71" s="30" t="s">
        <v>146</v>
      </c>
      <c r="E71" s="33">
        <v>0.44097222222222227</v>
      </c>
    </row>
    <row r="72" spans="4:5" x14ac:dyDescent="0.25">
      <c r="D72" s="30" t="s">
        <v>147</v>
      </c>
      <c r="E72" s="33"/>
    </row>
    <row r="73" spans="4:5" x14ac:dyDescent="0.25">
      <c r="D73" s="30" t="s">
        <v>148</v>
      </c>
      <c r="E73" s="33"/>
    </row>
    <row r="74" spans="4:5" x14ac:dyDescent="0.25">
      <c r="D74" s="30" t="s">
        <v>149</v>
      </c>
      <c r="E74" s="33">
        <v>0.34027777777777773</v>
      </c>
    </row>
    <row r="75" spans="4:5" x14ac:dyDescent="0.25">
      <c r="D75" s="30" t="s">
        <v>150</v>
      </c>
      <c r="E75" s="33">
        <v>0.42222222222222222</v>
      </c>
    </row>
    <row r="76" spans="4:5" x14ac:dyDescent="0.25">
      <c r="D76" s="30" t="s">
        <v>151</v>
      </c>
      <c r="E76" s="33">
        <v>0.4152777777777778</v>
      </c>
    </row>
    <row r="77" spans="4:5" x14ac:dyDescent="0.25">
      <c r="D77" s="30" t="s">
        <v>152</v>
      </c>
      <c r="E77" s="33">
        <v>0.36388888888888887</v>
      </c>
    </row>
    <row r="78" spans="4:5" x14ac:dyDescent="0.25">
      <c r="D78" s="30" t="s">
        <v>153</v>
      </c>
      <c r="E78" s="33">
        <v>0.4236111111111111</v>
      </c>
    </row>
    <row r="79" spans="4:5" x14ac:dyDescent="0.25">
      <c r="D79" s="30" t="s">
        <v>154</v>
      </c>
      <c r="E79" s="33"/>
    </row>
    <row r="80" spans="4:5" x14ac:dyDescent="0.25">
      <c r="D80" s="30" t="s">
        <v>155</v>
      </c>
      <c r="E80" s="33"/>
    </row>
    <row r="81" spans="4:5" x14ac:dyDescent="0.25">
      <c r="D81" s="30" t="s">
        <v>156</v>
      </c>
      <c r="E81" s="33">
        <v>0.37847222222222227</v>
      </c>
    </row>
    <row r="82" spans="4:5" x14ac:dyDescent="0.25">
      <c r="D82" s="30" t="s">
        <v>157</v>
      </c>
      <c r="E82" s="33">
        <v>0.43055555555555558</v>
      </c>
    </row>
    <row r="83" spans="4:5" x14ac:dyDescent="0.25">
      <c r="D83" s="30" t="s">
        <v>158</v>
      </c>
      <c r="E83" s="33">
        <v>0.34861111111111115</v>
      </c>
    </row>
    <row r="84" spans="4:5" x14ac:dyDescent="0.25">
      <c r="D84" s="30" t="s">
        <v>159</v>
      </c>
      <c r="E84" s="33">
        <v>0.35138888888888892</v>
      </c>
    </row>
    <row r="85" spans="4:5" x14ac:dyDescent="0.25">
      <c r="D85" s="30" t="s">
        <v>160</v>
      </c>
      <c r="E85" s="33">
        <v>0.32083333333333336</v>
      </c>
    </row>
    <row r="86" spans="4:5" x14ac:dyDescent="0.25">
      <c r="D86" s="30" t="s">
        <v>161</v>
      </c>
      <c r="E86" s="33"/>
    </row>
    <row r="87" spans="4:5" x14ac:dyDescent="0.25">
      <c r="D87" s="30" t="s">
        <v>162</v>
      </c>
      <c r="E87" s="33"/>
    </row>
    <row r="88" spans="4:5" x14ac:dyDescent="0.25">
      <c r="D88" s="30" t="s">
        <v>163</v>
      </c>
      <c r="E88" s="33">
        <v>0.41111111111111115</v>
      </c>
    </row>
    <row r="89" spans="4:5" x14ac:dyDescent="0.25">
      <c r="D89" s="30" t="s">
        <v>164</v>
      </c>
      <c r="E89" s="33">
        <v>0.37083333333333335</v>
      </c>
    </row>
    <row r="90" spans="4:5" x14ac:dyDescent="0.25">
      <c r="D90" s="30" t="s">
        <v>165</v>
      </c>
      <c r="E90" s="33">
        <v>0.43333333333333335</v>
      </c>
    </row>
    <row r="91" spans="4:5" x14ac:dyDescent="0.25">
      <c r="D91" s="30" t="s">
        <v>166</v>
      </c>
      <c r="E91" s="33">
        <v>0.33402777777777781</v>
      </c>
    </row>
    <row r="92" spans="4:5" x14ac:dyDescent="0.25">
      <c r="D92" s="30" t="s">
        <v>167</v>
      </c>
      <c r="E92" s="33">
        <v>0.33124999999999999</v>
      </c>
    </row>
    <row r="93" spans="4:5" x14ac:dyDescent="0.25">
      <c r="D93" s="30" t="s">
        <v>168</v>
      </c>
      <c r="E93" s="33"/>
    </row>
    <row r="94" spans="4:5" x14ac:dyDescent="0.25">
      <c r="D94" s="30" t="s">
        <v>169</v>
      </c>
      <c r="E94" s="33"/>
    </row>
    <row r="95" spans="4:5" x14ac:dyDescent="0.25">
      <c r="D95" s="30" t="s">
        <v>170</v>
      </c>
      <c r="E95" s="33">
        <v>0.32708333333333334</v>
      </c>
    </row>
    <row r="96" spans="4:5" x14ac:dyDescent="0.25">
      <c r="D96" s="30" t="s">
        <v>171</v>
      </c>
      <c r="E96" s="33">
        <v>0.31944444444444448</v>
      </c>
    </row>
    <row r="97" spans="4:5" x14ac:dyDescent="0.25">
      <c r="D97" s="30" t="s">
        <v>172</v>
      </c>
      <c r="E97" s="33">
        <v>0.3979166666666667</v>
      </c>
    </row>
    <row r="98" spans="4:5" x14ac:dyDescent="0.25">
      <c r="D98" s="30" t="s">
        <v>173</v>
      </c>
      <c r="E98" s="33">
        <v>0.3</v>
      </c>
    </row>
    <row r="99" spans="4:5" x14ac:dyDescent="0.25">
      <c r="D99" s="30" t="s">
        <v>174</v>
      </c>
      <c r="E99" s="33">
        <v>0.44444444444444442</v>
      </c>
    </row>
    <row r="100" spans="4:5" x14ac:dyDescent="0.25">
      <c r="D100" s="30" t="s">
        <v>175</v>
      </c>
      <c r="E100" s="33"/>
    </row>
    <row r="101" spans="4:5" x14ac:dyDescent="0.25">
      <c r="D101" s="30" t="s">
        <v>176</v>
      </c>
      <c r="E101" s="33"/>
    </row>
    <row r="102" spans="4:5" x14ac:dyDescent="0.25">
      <c r="D102" s="30" t="s">
        <v>177</v>
      </c>
      <c r="E102" s="33">
        <v>0.35694444444444445</v>
      </c>
    </row>
    <row r="103" spans="4:5" x14ac:dyDescent="0.25">
      <c r="D103" s="30" t="s">
        <v>178</v>
      </c>
      <c r="E103" s="33">
        <v>0.38263888888888892</v>
      </c>
    </row>
    <row r="104" spans="4:5" x14ac:dyDescent="0.25">
      <c r="D104" s="30" t="s">
        <v>179</v>
      </c>
      <c r="E104" s="33">
        <v>0.30416666666666664</v>
      </c>
    </row>
    <row r="105" spans="4:5" x14ac:dyDescent="0.25">
      <c r="D105" s="30" t="s">
        <v>180</v>
      </c>
      <c r="E105" s="33">
        <v>0.44791666666666669</v>
      </c>
    </row>
    <row r="106" spans="4:5" x14ac:dyDescent="0.25">
      <c r="D106" s="30" t="s">
        <v>181</v>
      </c>
      <c r="E106" s="33">
        <v>0.4604166666666667</v>
      </c>
    </row>
    <row r="107" spans="4:5" x14ac:dyDescent="0.25">
      <c r="D107" s="30" t="s">
        <v>182</v>
      </c>
      <c r="E107" s="33"/>
    </row>
    <row r="108" spans="4:5" x14ac:dyDescent="0.25">
      <c r="D108" s="30" t="s">
        <v>183</v>
      </c>
      <c r="E108" s="33"/>
    </row>
    <row r="109" spans="4:5" x14ac:dyDescent="0.25">
      <c r="D109" s="30" t="s">
        <v>184</v>
      </c>
      <c r="E109" s="33">
        <v>0.4909722222222222</v>
      </c>
    </row>
    <row r="110" spans="4:5" x14ac:dyDescent="0.25">
      <c r="D110" s="30" t="s">
        <v>185</v>
      </c>
      <c r="E110" s="33">
        <v>0.29166666666666669</v>
      </c>
    </row>
    <row r="111" spans="4:5" x14ac:dyDescent="0.25">
      <c r="D111" s="30" t="s">
        <v>186</v>
      </c>
      <c r="E111" s="33">
        <v>0.34791666666666665</v>
      </c>
    </row>
    <row r="112" spans="4:5" x14ac:dyDescent="0.25">
      <c r="D112" s="30" t="s">
        <v>187</v>
      </c>
      <c r="E112" s="33">
        <v>0.4993055555555555</v>
      </c>
    </row>
    <row r="113" spans="4:5" x14ac:dyDescent="0.25">
      <c r="D113" s="30" t="s">
        <v>188</v>
      </c>
      <c r="E113" s="33">
        <v>0.32777777777777778</v>
      </c>
    </row>
    <row r="114" spans="4:5" x14ac:dyDescent="0.25">
      <c r="D114" s="30" t="s">
        <v>189</v>
      </c>
      <c r="E114" s="33"/>
    </row>
    <row r="115" spans="4:5" x14ac:dyDescent="0.25">
      <c r="D115" s="30" t="s">
        <v>190</v>
      </c>
      <c r="E115" s="33"/>
    </row>
    <row r="116" spans="4:5" x14ac:dyDescent="0.25">
      <c r="D116" s="30" t="s">
        <v>191</v>
      </c>
      <c r="E116" s="33">
        <v>0.4381944444444445</v>
      </c>
    </row>
    <row r="117" spans="4:5" x14ac:dyDescent="0.25">
      <c r="D117" s="30" t="s">
        <v>192</v>
      </c>
      <c r="E117" s="33">
        <v>0.31736111111111115</v>
      </c>
    </row>
    <row r="118" spans="4:5" x14ac:dyDescent="0.25">
      <c r="D118" s="30" t="s">
        <v>193</v>
      </c>
      <c r="E118" s="33">
        <v>0.4284722222222222</v>
      </c>
    </row>
    <row r="119" spans="4:5" x14ac:dyDescent="0.25">
      <c r="D119" s="30" t="s">
        <v>194</v>
      </c>
      <c r="E119" s="33">
        <v>0.4909722222222222</v>
      </c>
    </row>
    <row r="120" spans="4:5" x14ac:dyDescent="0.25">
      <c r="D120" s="30" t="s">
        <v>195</v>
      </c>
      <c r="E120" s="33">
        <v>0.4465277777777778</v>
      </c>
    </row>
    <row r="121" spans="4:5" x14ac:dyDescent="0.25">
      <c r="D121" s="30" t="s">
        <v>196</v>
      </c>
      <c r="E121" s="33"/>
    </row>
    <row r="122" spans="4:5" x14ac:dyDescent="0.25">
      <c r="D122" s="30" t="s">
        <v>197</v>
      </c>
      <c r="E122" s="33"/>
    </row>
    <row r="123" spans="4:5" x14ac:dyDescent="0.25">
      <c r="D123" s="30" t="s">
        <v>198</v>
      </c>
      <c r="E123" s="33">
        <v>0.43541666666666662</v>
      </c>
    </row>
    <row r="124" spans="4:5" x14ac:dyDescent="0.25">
      <c r="D124" s="30" t="s">
        <v>199</v>
      </c>
      <c r="E124" s="33">
        <v>0.3430555555555555</v>
      </c>
    </row>
    <row r="125" spans="4:5" x14ac:dyDescent="0.25">
      <c r="D125" s="30" t="s">
        <v>200</v>
      </c>
      <c r="E125" s="33">
        <v>0.43611111111111112</v>
      </c>
    </row>
    <row r="126" spans="4:5" x14ac:dyDescent="0.25">
      <c r="D126" s="30" t="s">
        <v>201</v>
      </c>
      <c r="E126" s="33">
        <v>0.31527777777777777</v>
      </c>
    </row>
    <row r="127" spans="4:5" x14ac:dyDescent="0.25">
      <c r="D127" s="30" t="s">
        <v>202</v>
      </c>
      <c r="E127" s="33"/>
    </row>
    <row r="128" spans="4:5" x14ac:dyDescent="0.25">
      <c r="D128" s="30" t="s">
        <v>203</v>
      </c>
      <c r="E128" s="33"/>
    </row>
    <row r="129" spans="4:5" x14ac:dyDescent="0.25">
      <c r="D129" s="30" t="s">
        <v>204</v>
      </c>
      <c r="E129" s="33"/>
    </row>
    <row r="130" spans="4:5" x14ac:dyDescent="0.25">
      <c r="D130" s="30" t="s">
        <v>205</v>
      </c>
      <c r="E130" s="33">
        <v>0.33124999999999999</v>
      </c>
    </row>
    <row r="131" spans="4:5" x14ac:dyDescent="0.25">
      <c r="D131" s="30" t="s">
        <v>206</v>
      </c>
      <c r="E131" s="33">
        <v>0.39027777777777778</v>
      </c>
    </row>
    <row r="132" spans="4:5" x14ac:dyDescent="0.25">
      <c r="D132" s="30" t="s">
        <v>207</v>
      </c>
      <c r="E132" s="33">
        <v>0.33333333333333331</v>
      </c>
    </row>
    <row r="133" spans="4:5" x14ac:dyDescent="0.25">
      <c r="D133" s="30" t="s">
        <v>208</v>
      </c>
      <c r="E133" s="33">
        <v>0.40277777777777773</v>
      </c>
    </row>
    <row r="134" spans="4:5" x14ac:dyDescent="0.25">
      <c r="D134" s="30" t="s">
        <v>209</v>
      </c>
      <c r="E134" s="33">
        <v>0.4284722222222222</v>
      </c>
    </row>
    <row r="135" spans="4:5" x14ac:dyDescent="0.25">
      <c r="D135" s="30" t="s">
        <v>210</v>
      </c>
      <c r="E135" s="33"/>
    </row>
    <row r="136" spans="4:5" x14ac:dyDescent="0.25">
      <c r="D136" s="30" t="s">
        <v>211</v>
      </c>
      <c r="E136" s="33"/>
    </row>
    <row r="137" spans="4:5" x14ac:dyDescent="0.25">
      <c r="D137" s="30" t="s">
        <v>212</v>
      </c>
      <c r="E137" s="33">
        <v>0.46597222222222223</v>
      </c>
    </row>
    <row r="138" spans="4:5" x14ac:dyDescent="0.25">
      <c r="D138" s="30" t="s">
        <v>213</v>
      </c>
      <c r="E138" s="33"/>
    </row>
    <row r="139" spans="4:5" x14ac:dyDescent="0.25">
      <c r="D139" s="30" t="s">
        <v>214</v>
      </c>
      <c r="E139" s="33">
        <v>0.32916666666666666</v>
      </c>
    </row>
    <row r="140" spans="4:5" x14ac:dyDescent="0.25">
      <c r="D140" s="30" t="s">
        <v>215</v>
      </c>
      <c r="E140" s="33">
        <v>0.46111111111111108</v>
      </c>
    </row>
    <row r="141" spans="4:5" x14ac:dyDescent="0.25">
      <c r="D141" s="30" t="s">
        <v>216</v>
      </c>
      <c r="E141" s="33">
        <v>0.41388888888888892</v>
      </c>
    </row>
    <row r="142" spans="4:5" x14ac:dyDescent="0.25">
      <c r="D142" s="30" t="s">
        <v>217</v>
      </c>
      <c r="E142" s="33"/>
    </row>
    <row r="143" spans="4:5" x14ac:dyDescent="0.25">
      <c r="D143" s="30" t="s">
        <v>218</v>
      </c>
      <c r="E143" s="33"/>
    </row>
    <row r="144" spans="4:5" x14ac:dyDescent="0.25">
      <c r="D144" s="30" t="s">
        <v>219</v>
      </c>
      <c r="E144" s="33">
        <v>0.31458333333333333</v>
      </c>
    </row>
    <row r="145" spans="4:5" x14ac:dyDescent="0.25">
      <c r="D145" s="30" t="s">
        <v>220</v>
      </c>
      <c r="E145" s="33">
        <v>0.40277777777777773</v>
      </c>
    </row>
    <row r="146" spans="4:5" x14ac:dyDescent="0.25">
      <c r="D146" s="30" t="s">
        <v>221</v>
      </c>
      <c r="E146" s="33">
        <v>0.34375</v>
      </c>
    </row>
    <row r="147" spans="4:5" x14ac:dyDescent="0.25">
      <c r="D147" s="30" t="s">
        <v>222</v>
      </c>
      <c r="E147" s="33">
        <v>0.31527777777777777</v>
      </c>
    </row>
    <row r="148" spans="4:5" x14ac:dyDescent="0.25">
      <c r="D148" s="30" t="s">
        <v>223</v>
      </c>
      <c r="E148" s="33">
        <v>0.30069444444444443</v>
      </c>
    </row>
    <row r="149" spans="4:5" x14ac:dyDescent="0.25">
      <c r="D149" s="30" t="s">
        <v>224</v>
      </c>
      <c r="E149" s="33"/>
    </row>
    <row r="150" spans="4:5" x14ac:dyDescent="0.25">
      <c r="D150" s="30" t="s">
        <v>225</v>
      </c>
      <c r="E150" s="33"/>
    </row>
    <row r="151" spans="4:5" x14ac:dyDescent="0.25">
      <c r="D151" s="30" t="s">
        <v>226</v>
      </c>
      <c r="E151" s="33">
        <v>0.46388888888888885</v>
      </c>
    </row>
    <row r="152" spans="4:5" x14ac:dyDescent="0.25">
      <c r="D152" s="30" t="s">
        <v>227</v>
      </c>
      <c r="E152" s="33">
        <v>0.3576388888888889</v>
      </c>
    </row>
    <row r="153" spans="4:5" x14ac:dyDescent="0.25">
      <c r="D153" s="30" t="s">
        <v>228</v>
      </c>
      <c r="E153" s="33">
        <v>0.41388888888888892</v>
      </c>
    </row>
    <row r="154" spans="4:5" x14ac:dyDescent="0.25">
      <c r="D154" s="30" t="s">
        <v>229</v>
      </c>
      <c r="E154" s="33">
        <v>0.4993055555555555</v>
      </c>
    </row>
    <row r="155" spans="4:5" x14ac:dyDescent="0.25">
      <c r="D155" s="30" t="s">
        <v>230</v>
      </c>
      <c r="E155" s="33">
        <v>0.49583333333333335</v>
      </c>
    </row>
    <row r="156" spans="4:5" x14ac:dyDescent="0.25">
      <c r="D156" s="30" t="s">
        <v>231</v>
      </c>
      <c r="E156" s="33"/>
    </row>
    <row r="157" spans="4:5" x14ac:dyDescent="0.25">
      <c r="D157" s="30" t="s">
        <v>232</v>
      </c>
      <c r="E157" s="33"/>
    </row>
    <row r="158" spans="4:5" x14ac:dyDescent="0.25">
      <c r="D158" s="30" t="s">
        <v>76</v>
      </c>
      <c r="E158" s="33">
        <v>40.687500000000007</v>
      </c>
    </row>
  </sheetData>
  <mergeCells count="6">
    <mergeCell ref="AM3:AO4"/>
    <mergeCell ref="AM5:AO5"/>
    <mergeCell ref="G4:H4"/>
    <mergeCell ref="J4:K4"/>
    <mergeCell ref="J3:K3"/>
    <mergeCell ref="G3:H3"/>
  </mergeCells>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667F3-9273-446B-8773-B642C187433C}">
  <sheetPr codeName="Sheet8"/>
  <dimension ref="I5:P34"/>
  <sheetViews>
    <sheetView zoomScale="70" zoomScaleNormal="70" workbookViewId="0">
      <selection activeCell="T20" sqref="T20"/>
    </sheetView>
  </sheetViews>
  <sheetFormatPr defaultRowHeight="15" x14ac:dyDescent="0.25"/>
  <cols>
    <col min="1" max="10" width="9.140625" style="60"/>
    <col min="11" max="11" width="18.85546875" style="60" bestFit="1" customWidth="1"/>
    <col min="12" max="12" width="9.140625" style="60"/>
    <col min="13" max="13" width="4.85546875" style="60" customWidth="1"/>
    <col min="14" max="14" width="27.5703125" style="60" customWidth="1"/>
    <col min="15" max="16384" width="9.140625" style="60"/>
  </cols>
  <sheetData>
    <row r="5" spans="9:16" x14ac:dyDescent="0.25">
      <c r="I5" s="61"/>
      <c r="J5" s="62"/>
      <c r="K5" s="62"/>
      <c r="L5" s="62"/>
      <c r="M5" s="62"/>
      <c r="N5" s="62"/>
      <c r="O5" s="62"/>
      <c r="P5" s="63"/>
    </row>
    <row r="6" spans="9:16" x14ac:dyDescent="0.25">
      <c r="I6" s="64"/>
      <c r="J6" s="65"/>
      <c r="K6" s="65"/>
      <c r="L6" s="65"/>
      <c r="M6" s="65"/>
      <c r="N6" s="65"/>
      <c r="O6" s="65"/>
      <c r="P6" s="66"/>
    </row>
    <row r="7" spans="9:16" ht="15" customHeight="1" x14ac:dyDescent="0.25">
      <c r="I7" s="64"/>
      <c r="J7" s="65"/>
      <c r="K7" s="130" t="s">
        <v>282</v>
      </c>
      <c r="L7" s="131"/>
      <c r="M7" s="131"/>
      <c r="N7" s="132"/>
      <c r="O7" s="65"/>
      <c r="P7" s="66"/>
    </row>
    <row r="8" spans="9:16" ht="22.5" customHeight="1" x14ac:dyDescent="0.25">
      <c r="I8" s="64"/>
      <c r="J8" s="65"/>
      <c r="K8" s="133"/>
      <c r="L8" s="134"/>
      <c r="M8" s="134"/>
      <c r="N8" s="135"/>
      <c r="O8" s="65"/>
      <c r="P8" s="66"/>
    </row>
    <row r="9" spans="9:16" x14ac:dyDescent="0.25">
      <c r="I9" s="64"/>
      <c r="J9" s="65"/>
      <c r="K9" s="65"/>
      <c r="L9" s="65"/>
      <c r="M9" s="65"/>
      <c r="N9" s="65"/>
      <c r="O9" s="65"/>
      <c r="P9" s="66"/>
    </row>
    <row r="10" spans="9:16" x14ac:dyDescent="0.25">
      <c r="I10" s="64"/>
      <c r="J10" s="65"/>
      <c r="K10" s="65"/>
      <c r="L10" s="65"/>
      <c r="M10" s="65"/>
      <c r="N10" s="65"/>
      <c r="O10" s="65"/>
      <c r="P10" s="66"/>
    </row>
    <row r="11" spans="9:16" ht="22.5" x14ac:dyDescent="0.3">
      <c r="I11" s="64"/>
      <c r="J11" s="65"/>
      <c r="K11" s="67" t="s">
        <v>23</v>
      </c>
      <c r="L11" s="65"/>
      <c r="M11" s="65"/>
      <c r="N11" s="68"/>
      <c r="O11" s="65"/>
      <c r="P11" s="66"/>
    </row>
    <row r="12" spans="9:16" x14ac:dyDescent="0.25">
      <c r="I12" s="64"/>
      <c r="J12" s="65"/>
      <c r="K12" s="65"/>
      <c r="L12" s="65"/>
      <c r="M12" s="65"/>
      <c r="N12" s="65"/>
      <c r="O12" s="65"/>
      <c r="P12" s="66"/>
    </row>
    <row r="13" spans="9:16" ht="22.5" x14ac:dyDescent="0.3">
      <c r="I13" s="64"/>
      <c r="J13" s="65"/>
      <c r="K13" s="67" t="s">
        <v>24</v>
      </c>
      <c r="L13" s="65"/>
      <c r="M13" s="65"/>
      <c r="N13" s="68"/>
      <c r="O13" s="65"/>
      <c r="P13" s="66"/>
    </row>
    <row r="14" spans="9:16" x14ac:dyDescent="0.25">
      <c r="I14" s="64"/>
      <c r="J14" s="65"/>
      <c r="K14" s="65"/>
      <c r="L14" s="65"/>
      <c r="M14" s="65"/>
      <c r="N14" s="65"/>
      <c r="O14" s="65"/>
      <c r="P14" s="66"/>
    </row>
    <row r="15" spans="9:16" ht="22.5" x14ac:dyDescent="0.3">
      <c r="I15" s="64"/>
      <c r="J15" s="65"/>
      <c r="K15" s="67" t="s">
        <v>25</v>
      </c>
      <c r="L15" s="65"/>
      <c r="M15" s="65"/>
      <c r="N15" s="68"/>
      <c r="O15" s="65"/>
      <c r="P15" s="66"/>
    </row>
    <row r="16" spans="9:16" x14ac:dyDescent="0.25">
      <c r="I16" s="64"/>
      <c r="J16" s="65"/>
      <c r="K16" s="65"/>
      <c r="L16" s="65"/>
      <c r="M16" s="65"/>
      <c r="N16" s="65"/>
      <c r="O16" s="65"/>
      <c r="P16" s="66"/>
    </row>
    <row r="17" spans="9:16" ht="22.5" x14ac:dyDescent="0.3">
      <c r="I17" s="64"/>
      <c r="J17" s="65"/>
      <c r="K17" s="67" t="s">
        <v>26</v>
      </c>
      <c r="L17" s="65"/>
      <c r="M17" s="65"/>
      <c r="N17" s="68"/>
      <c r="O17" s="65"/>
      <c r="P17" s="66"/>
    </row>
    <row r="18" spans="9:16" x14ac:dyDescent="0.25">
      <c r="I18" s="64"/>
      <c r="J18" s="65"/>
      <c r="K18" s="65"/>
      <c r="L18" s="65"/>
      <c r="M18" s="65"/>
      <c r="N18" s="65"/>
      <c r="O18" s="65"/>
      <c r="P18" s="66"/>
    </row>
    <row r="19" spans="9:16" ht="22.5" x14ac:dyDescent="0.3">
      <c r="I19" s="64"/>
      <c r="J19" s="65"/>
      <c r="K19" s="67" t="s">
        <v>27</v>
      </c>
      <c r="L19" s="65"/>
      <c r="M19" s="65"/>
      <c r="N19" s="68"/>
      <c r="O19" s="65"/>
      <c r="P19" s="66"/>
    </row>
    <row r="20" spans="9:16" x14ac:dyDescent="0.25">
      <c r="I20" s="64"/>
      <c r="J20" s="65"/>
      <c r="K20" s="65"/>
      <c r="L20" s="65"/>
      <c r="M20" s="65"/>
      <c r="N20" s="65"/>
      <c r="O20" s="65"/>
      <c r="P20" s="66"/>
    </row>
    <row r="21" spans="9:16" ht="22.5" x14ac:dyDescent="0.3">
      <c r="I21" s="64"/>
      <c r="J21" s="65"/>
      <c r="K21" s="67" t="s">
        <v>28</v>
      </c>
      <c r="L21" s="65"/>
      <c r="M21" s="65"/>
      <c r="N21" s="68"/>
      <c r="O21" s="65"/>
      <c r="P21" s="66"/>
    </row>
    <row r="22" spans="9:16" x14ac:dyDescent="0.25">
      <c r="I22" s="64"/>
      <c r="J22" s="65"/>
      <c r="K22" s="65"/>
      <c r="L22" s="65"/>
      <c r="M22" s="65"/>
      <c r="N22" s="65"/>
      <c r="O22" s="65"/>
      <c r="P22" s="66"/>
    </row>
    <row r="23" spans="9:16" ht="22.5" x14ac:dyDescent="0.3">
      <c r="I23" s="64"/>
      <c r="J23" s="65"/>
      <c r="K23" s="67" t="s">
        <v>29</v>
      </c>
      <c r="L23" s="65"/>
      <c r="M23" s="65"/>
      <c r="N23" s="68"/>
      <c r="O23" s="65"/>
      <c r="P23" s="66"/>
    </row>
    <row r="24" spans="9:16" x14ac:dyDescent="0.25">
      <c r="I24" s="64"/>
      <c r="J24" s="65"/>
      <c r="K24" s="65"/>
      <c r="L24" s="65"/>
      <c r="M24" s="65"/>
      <c r="N24" s="65"/>
      <c r="O24" s="65"/>
      <c r="P24" s="66"/>
    </row>
    <row r="25" spans="9:16" ht="22.5" x14ac:dyDescent="0.3">
      <c r="I25" s="64"/>
      <c r="J25" s="65"/>
      <c r="K25" s="67" t="s">
        <v>30</v>
      </c>
      <c r="L25" s="65"/>
      <c r="M25" s="65"/>
      <c r="N25" s="68"/>
      <c r="O25" s="65"/>
      <c r="P25" s="66"/>
    </row>
    <row r="26" spans="9:16" x14ac:dyDescent="0.25">
      <c r="I26" s="64"/>
      <c r="J26" s="65"/>
      <c r="K26" s="65"/>
      <c r="L26" s="65"/>
      <c r="M26" s="65"/>
      <c r="N26" s="65"/>
      <c r="O26" s="65"/>
      <c r="P26" s="66"/>
    </row>
    <row r="27" spans="9:16" ht="22.5" x14ac:dyDescent="0.3">
      <c r="I27" s="64"/>
      <c r="J27" s="65"/>
      <c r="K27" s="67" t="s">
        <v>31</v>
      </c>
      <c r="L27" s="65"/>
      <c r="M27" s="65"/>
      <c r="N27" s="68"/>
      <c r="O27" s="65"/>
      <c r="P27" s="66"/>
    </row>
    <row r="28" spans="9:16" x14ac:dyDescent="0.25">
      <c r="I28" s="64"/>
      <c r="J28" s="65"/>
      <c r="K28" s="65"/>
      <c r="L28" s="65"/>
      <c r="M28" s="65"/>
      <c r="N28" s="65"/>
      <c r="O28" s="65"/>
      <c r="P28" s="66"/>
    </row>
    <row r="29" spans="9:16" ht="22.5" x14ac:dyDescent="0.3">
      <c r="I29" s="64"/>
      <c r="J29" s="65"/>
      <c r="K29" s="67" t="s">
        <v>32</v>
      </c>
      <c r="L29" s="65"/>
      <c r="M29" s="65"/>
      <c r="N29" s="68"/>
      <c r="O29" s="65"/>
      <c r="P29" s="66"/>
    </row>
    <row r="30" spans="9:16" x14ac:dyDescent="0.25">
      <c r="I30" s="64"/>
      <c r="J30" s="65"/>
      <c r="K30" s="65"/>
      <c r="L30" s="65"/>
      <c r="M30" s="65"/>
      <c r="N30" s="65"/>
      <c r="O30" s="65"/>
      <c r="P30" s="66"/>
    </row>
    <row r="31" spans="9:16" ht="22.5" x14ac:dyDescent="0.3">
      <c r="I31" s="64"/>
      <c r="J31" s="65"/>
      <c r="K31" s="67" t="s">
        <v>33</v>
      </c>
      <c r="L31" s="65"/>
      <c r="M31" s="65"/>
      <c r="N31" s="68"/>
      <c r="O31" s="65"/>
      <c r="P31" s="66"/>
    </row>
    <row r="32" spans="9:16" x14ac:dyDescent="0.25">
      <c r="I32" s="64"/>
      <c r="J32" s="65"/>
      <c r="K32" s="65"/>
      <c r="L32" s="65"/>
      <c r="M32" s="65"/>
      <c r="N32" s="65"/>
      <c r="O32" s="65"/>
      <c r="P32" s="66"/>
    </row>
    <row r="33" spans="9:16" x14ac:dyDescent="0.25">
      <c r="I33" s="64"/>
      <c r="J33" s="65"/>
      <c r="K33" s="65"/>
      <c r="L33" s="65"/>
      <c r="M33" s="65"/>
      <c r="N33" s="72" t="s">
        <v>294</v>
      </c>
      <c r="O33" s="65"/>
      <c r="P33" s="66"/>
    </row>
    <row r="34" spans="9:16" x14ac:dyDescent="0.25">
      <c r="I34" s="69"/>
      <c r="J34" s="70"/>
      <c r="K34" s="70"/>
      <c r="L34" s="70"/>
      <c r="M34" s="70"/>
      <c r="N34" s="70"/>
      <c r="O34" s="70"/>
      <c r="P34" s="71"/>
    </row>
  </sheetData>
  <mergeCells count="1">
    <mergeCell ref="K7:N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TIME SHEET</vt:lpstr>
      <vt:lpstr>EMP PHOTO</vt:lpstr>
      <vt:lpstr>DASHBORDS</vt:lpstr>
      <vt:lpstr>PDF</vt:lpstr>
      <vt:lpstr>Send_Mails</vt:lpstr>
      <vt:lpstr>EMP_INFORMATION</vt:lpstr>
      <vt:lpstr>PIVIOT TABLE</vt:lpstr>
      <vt:lpstr>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 Pachpute</dc:creator>
  <cp:lastModifiedBy>Amit Pachpute</cp:lastModifiedBy>
  <cp:lastPrinted>2025-06-27T14:23:47Z</cp:lastPrinted>
  <dcterms:created xsi:type="dcterms:W3CDTF">2025-05-30T10:29:31Z</dcterms:created>
  <dcterms:modified xsi:type="dcterms:W3CDTF">2025-06-27T16:47:36Z</dcterms:modified>
</cp:coreProperties>
</file>